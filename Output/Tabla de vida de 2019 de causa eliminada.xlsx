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031283e82435bf/Escritorio/2026-2/Demografia/Nueva carpeta/Entrega 1/Output/"/>
    </mc:Choice>
  </mc:AlternateContent>
  <xr:revisionPtr revIDLastSave="0" documentId="8_{C4283298-C99F-4C80-B705-CAA936C83F5A}" xr6:coauthVersionLast="47" xr6:coauthVersionMax="47" xr10:uidLastSave="{00000000-0000-0000-0000-000000000000}"/>
  <bookViews>
    <workbookView xWindow="-108" yWindow="-108" windowWidth="23256" windowHeight="12456" xr2:uid="{32C08109-E468-4407-85FF-6208C0A71400}"/>
  </bookViews>
  <sheets>
    <sheet name="Decrementos múltipl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1" i="1" l="1"/>
  <c r="Y31" i="1"/>
  <c r="Y30" i="1"/>
  <c r="X30" i="1"/>
  <c r="Q45" i="1"/>
  <c r="F31" i="1"/>
  <c r="F34" i="1"/>
  <c r="F10" i="1"/>
  <c r="F12" i="1"/>
  <c r="F13" i="1"/>
  <c r="F14" i="1"/>
  <c r="F22" i="1"/>
  <c r="F33" i="1"/>
  <c r="L33" i="1" s="1"/>
  <c r="M33" i="1" s="1"/>
  <c r="F35" i="1"/>
  <c r="L35" i="1" s="1"/>
  <c r="M35" i="1" s="1"/>
  <c r="F36" i="1"/>
  <c r="F37" i="1"/>
  <c r="F39" i="1"/>
  <c r="F43" i="1"/>
  <c r="F45" i="1"/>
  <c r="L45" i="1" s="1"/>
  <c r="M45" i="1" s="1"/>
  <c r="F44" i="1"/>
  <c r="F42" i="1"/>
  <c r="L42" i="1" s="1"/>
  <c r="M42" i="1" s="1"/>
  <c r="F41" i="1"/>
  <c r="F40" i="1"/>
  <c r="L40" i="1" s="1"/>
  <c r="M40" i="1" s="1"/>
  <c r="F32" i="1"/>
  <c r="F30" i="1"/>
  <c r="L30" i="1" s="1"/>
  <c r="M30" i="1" s="1"/>
  <c r="F29" i="1"/>
  <c r="F28" i="1"/>
  <c r="F27" i="1"/>
  <c r="F16" i="1"/>
  <c r="F5" i="1"/>
  <c r="L5" i="1" s="1"/>
  <c r="M5" i="1" s="1"/>
  <c r="F7" i="1"/>
  <c r="L7" i="1" s="1"/>
  <c r="M7" i="1" s="1"/>
  <c r="F8" i="1"/>
  <c r="F20" i="1"/>
  <c r="F21" i="1"/>
  <c r="F11" i="1"/>
  <c r="F9" i="1"/>
  <c r="F4" i="1"/>
  <c r="L44" i="1" l="1"/>
  <c r="M44" i="1" s="1"/>
  <c r="L36" i="1"/>
  <c r="M36" i="1" s="1"/>
  <c r="F38" i="1"/>
  <c r="L38" i="1" s="1"/>
  <c r="M38" i="1" s="1"/>
  <c r="L27" i="1"/>
  <c r="M27" i="1" s="1"/>
  <c r="O27" i="1" s="1"/>
  <c r="P45" i="1"/>
  <c r="L31" i="1"/>
  <c r="M31" i="1" s="1"/>
  <c r="L28" i="1"/>
  <c r="M28" i="1" s="1"/>
  <c r="P28" i="1"/>
  <c r="L37" i="1"/>
  <c r="M37" i="1" s="1"/>
  <c r="L39" i="1"/>
  <c r="M39" i="1" s="1"/>
  <c r="L32" i="1"/>
  <c r="M32" i="1" s="1"/>
  <c r="L43" i="1"/>
  <c r="M43" i="1" s="1"/>
  <c r="L29" i="1"/>
  <c r="M29" i="1" s="1"/>
  <c r="P29" i="1" s="1"/>
  <c r="L41" i="1"/>
  <c r="M41" i="1" s="1"/>
  <c r="L34" i="1"/>
  <c r="M34" i="1" s="1"/>
  <c r="P5" i="1"/>
  <c r="L12" i="1"/>
  <c r="M12" i="1" s="1"/>
  <c r="L22" i="1"/>
  <c r="M22" i="1" s="1"/>
  <c r="L10" i="1"/>
  <c r="M10" i="1" s="1"/>
  <c r="L8" i="1"/>
  <c r="M8" i="1" s="1"/>
  <c r="F19" i="1"/>
  <c r="L19" i="1" s="1"/>
  <c r="M19" i="1" s="1"/>
  <c r="F17" i="1"/>
  <c r="L17" i="1" s="1"/>
  <c r="M17" i="1" s="1"/>
  <c r="F15" i="1"/>
  <c r="L15" i="1" s="1"/>
  <c r="M15" i="1" s="1"/>
  <c r="F6" i="1"/>
  <c r="L6" i="1" s="1"/>
  <c r="M6" i="1" s="1"/>
  <c r="P6" i="1" s="1"/>
  <c r="F18" i="1"/>
  <c r="L18" i="1" s="1"/>
  <c r="M18" i="1" s="1"/>
  <c r="L20" i="1"/>
  <c r="M20" i="1" s="1"/>
  <c r="L9" i="1"/>
  <c r="M9" i="1" s="1"/>
  <c r="L14" i="1"/>
  <c r="M14" i="1" s="1"/>
  <c r="L11" i="1"/>
  <c r="M11" i="1" s="1"/>
  <c r="L16" i="1"/>
  <c r="M16" i="1" s="1"/>
  <c r="L13" i="1"/>
  <c r="M13" i="1" s="1"/>
  <c r="L21" i="1"/>
  <c r="M21" i="1" s="1"/>
  <c r="L4" i="1"/>
  <c r="P22" i="1"/>
  <c r="P44" i="1" l="1"/>
  <c r="N28" i="1"/>
  <c r="N29" i="1" s="1"/>
  <c r="P27" i="1"/>
  <c r="P21" i="1"/>
  <c r="M4" i="1"/>
  <c r="N5" i="1"/>
  <c r="O28" i="1" l="1"/>
  <c r="Q28" i="1" s="1"/>
  <c r="Q27" i="1"/>
  <c r="O29" i="1"/>
  <c r="N30" i="1"/>
  <c r="N6" i="1"/>
  <c r="O5" i="1"/>
  <c r="O4" i="1"/>
  <c r="P4" i="1"/>
  <c r="Q29" i="1" l="1"/>
  <c r="O30" i="1"/>
  <c r="N31" i="1"/>
  <c r="Q4" i="1"/>
  <c r="O6" i="1"/>
  <c r="Q5" i="1"/>
  <c r="N7" i="1"/>
  <c r="O31" i="1" l="1"/>
  <c r="P30" i="1" s="1"/>
  <c r="Q30" i="1" s="1"/>
  <c r="N32" i="1"/>
  <c r="N8" i="1"/>
  <c r="O7" i="1"/>
  <c r="Q6" i="1"/>
  <c r="N33" i="1" l="1"/>
  <c r="O32" i="1"/>
  <c r="O8" i="1"/>
  <c r="N9" i="1"/>
  <c r="P31" i="1" l="1"/>
  <c r="Q31" i="1" s="1"/>
  <c r="N34" i="1"/>
  <c r="O33" i="1"/>
  <c r="P7" i="1"/>
  <c r="Q7" i="1" s="1"/>
  <c r="N10" i="1"/>
  <c r="O9" i="1"/>
  <c r="P8" i="1" s="1"/>
  <c r="Q8" i="1" s="1"/>
  <c r="P32" i="1" l="1"/>
  <c r="Q32" i="1" s="1"/>
  <c r="O34" i="1"/>
  <c r="N35" i="1"/>
  <c r="N11" i="1"/>
  <c r="O10" i="1"/>
  <c r="P9" i="1" s="1"/>
  <c r="Q9" i="1" s="1"/>
  <c r="O35" i="1" l="1"/>
  <c r="N36" i="1"/>
  <c r="P33" i="1"/>
  <c r="Q33" i="1" s="1"/>
  <c r="O11" i="1"/>
  <c r="N12" i="1"/>
  <c r="P34" i="1" l="1"/>
  <c r="Q34" i="1" s="1"/>
  <c r="O36" i="1"/>
  <c r="N37" i="1"/>
  <c r="P10" i="1"/>
  <c r="Q10" i="1" s="1"/>
  <c r="N13" i="1"/>
  <c r="O12" i="1"/>
  <c r="P11" i="1" s="1"/>
  <c r="Q11" i="1" s="1"/>
  <c r="O37" i="1" l="1"/>
  <c r="N38" i="1"/>
  <c r="P35" i="1"/>
  <c r="Q35" i="1" s="1"/>
  <c r="O13" i="1"/>
  <c r="P12" i="1" s="1"/>
  <c r="Q12" i="1" s="1"/>
  <c r="N14" i="1"/>
  <c r="P36" i="1" l="1"/>
  <c r="Q36" i="1" s="1"/>
  <c r="N39" i="1"/>
  <c r="O38" i="1"/>
  <c r="N15" i="1"/>
  <c r="O14" i="1"/>
  <c r="P13" i="1" s="1"/>
  <c r="Q13" i="1" s="1"/>
  <c r="N40" i="1" l="1"/>
  <c r="O39" i="1"/>
  <c r="P38" i="1" s="1"/>
  <c r="Q38" i="1" s="1"/>
  <c r="P37" i="1"/>
  <c r="Q37" i="1" s="1"/>
  <c r="N16" i="1"/>
  <c r="O15" i="1"/>
  <c r="N41" i="1" l="1"/>
  <c r="O40" i="1"/>
  <c r="P14" i="1"/>
  <c r="Q14" i="1" s="1"/>
  <c r="N17" i="1"/>
  <c r="O16" i="1"/>
  <c r="P15" i="1"/>
  <c r="Q15" i="1" s="1"/>
  <c r="P39" i="1" l="1"/>
  <c r="Q39" i="1" s="1"/>
  <c r="O41" i="1"/>
  <c r="P40" i="1" s="1"/>
  <c r="Q40" i="1" s="1"/>
  <c r="N42" i="1"/>
  <c r="N18" i="1"/>
  <c r="O17" i="1"/>
  <c r="P16" i="1"/>
  <c r="Q16" i="1" s="1"/>
  <c r="O42" i="1" l="1"/>
  <c r="N43" i="1"/>
  <c r="O18" i="1"/>
  <c r="N19" i="1"/>
  <c r="P41" i="1" l="1"/>
  <c r="Q41" i="1" s="1"/>
  <c r="N44" i="1"/>
  <c r="O43" i="1"/>
  <c r="P42" i="1" s="1"/>
  <c r="Q42" i="1" s="1"/>
  <c r="P17" i="1"/>
  <c r="Q17" i="1" s="1"/>
  <c r="N20" i="1"/>
  <c r="O19" i="1"/>
  <c r="P18" i="1" s="1"/>
  <c r="Q18" i="1" s="1"/>
  <c r="N45" i="1" l="1"/>
  <c r="O44" i="1"/>
  <c r="P43" i="1" s="1"/>
  <c r="Q43" i="1" s="1"/>
  <c r="O20" i="1"/>
  <c r="P19" i="1" s="1"/>
  <c r="Q19" i="1" s="1"/>
  <c r="N21" i="1"/>
  <c r="Q44" i="1" l="1"/>
  <c r="R45" i="1"/>
  <c r="O45" i="1"/>
  <c r="O21" i="1"/>
  <c r="P20" i="1" s="1"/>
  <c r="Q20" i="1" s="1"/>
  <c r="N22" i="1"/>
  <c r="Q22" i="1" s="1"/>
  <c r="S45" i="1" l="1"/>
  <c r="T45" i="1" s="1"/>
  <c r="R44" i="1"/>
  <c r="R22" i="1"/>
  <c r="Q21" i="1"/>
  <c r="O22" i="1"/>
  <c r="R43" i="1" l="1"/>
  <c r="S44" i="1"/>
  <c r="T44" i="1" s="1"/>
  <c r="S22" i="1"/>
  <c r="T22" i="1" s="1"/>
  <c r="R21" i="1"/>
  <c r="S43" i="1" l="1"/>
  <c r="T43" i="1" s="1"/>
  <c r="R42" i="1"/>
  <c r="R20" i="1"/>
  <c r="S21" i="1"/>
  <c r="T21" i="1" s="1"/>
  <c r="S42" i="1" l="1"/>
  <c r="T42" i="1" s="1"/>
  <c r="R41" i="1"/>
  <c r="S20" i="1"/>
  <c r="T20" i="1" s="1"/>
  <c r="R19" i="1"/>
  <c r="S41" i="1" l="1"/>
  <c r="T41" i="1" s="1"/>
  <c r="R40" i="1"/>
  <c r="S19" i="1"/>
  <c r="T19" i="1" s="1"/>
  <c r="R18" i="1"/>
  <c r="S40" i="1" l="1"/>
  <c r="T40" i="1" s="1"/>
  <c r="R39" i="1"/>
  <c r="R17" i="1"/>
  <c r="S18" i="1"/>
  <c r="T18" i="1" s="1"/>
  <c r="R38" i="1" l="1"/>
  <c r="S39" i="1"/>
  <c r="T39" i="1" s="1"/>
  <c r="S17" i="1"/>
  <c r="T17" i="1" s="1"/>
  <c r="R16" i="1"/>
  <c r="S38" i="1" l="1"/>
  <c r="T38" i="1" s="1"/>
  <c r="R37" i="1"/>
  <c r="R15" i="1"/>
  <c r="S16" i="1"/>
  <c r="T16" i="1" s="1"/>
  <c r="R36" i="1" l="1"/>
  <c r="S37" i="1"/>
  <c r="T37" i="1" s="1"/>
  <c r="S15" i="1"/>
  <c r="T15" i="1" s="1"/>
  <c r="R14" i="1"/>
  <c r="S36" i="1" l="1"/>
  <c r="T36" i="1" s="1"/>
  <c r="R35" i="1"/>
  <c r="S14" i="1"/>
  <c r="T14" i="1" s="1"/>
  <c r="R13" i="1"/>
  <c r="R34" i="1" l="1"/>
  <c r="S35" i="1"/>
  <c r="T35" i="1" s="1"/>
  <c r="R12" i="1"/>
  <c r="S13" i="1"/>
  <c r="T13" i="1" s="1"/>
  <c r="R33" i="1" l="1"/>
  <c r="S34" i="1"/>
  <c r="T34" i="1" s="1"/>
  <c r="S12" i="1"/>
  <c r="T12" i="1" s="1"/>
  <c r="R11" i="1"/>
  <c r="S33" i="1" l="1"/>
  <c r="T33" i="1" s="1"/>
  <c r="R32" i="1"/>
  <c r="R10" i="1"/>
  <c r="S11" i="1"/>
  <c r="T11" i="1" s="1"/>
  <c r="R31" i="1" l="1"/>
  <c r="S32" i="1"/>
  <c r="T32" i="1" s="1"/>
  <c r="S10" i="1"/>
  <c r="T10" i="1" s="1"/>
  <c r="R9" i="1"/>
  <c r="S31" i="1" l="1"/>
  <c r="T31" i="1" s="1"/>
  <c r="R30" i="1"/>
  <c r="R8" i="1"/>
  <c r="S9" i="1"/>
  <c r="T9" i="1" s="1"/>
  <c r="S30" i="1" l="1"/>
  <c r="T30" i="1" s="1"/>
  <c r="R29" i="1"/>
  <c r="R7" i="1"/>
  <c r="S8" i="1"/>
  <c r="T8" i="1" s="1"/>
  <c r="S29" i="1" l="1"/>
  <c r="T29" i="1" s="1"/>
  <c r="R28" i="1"/>
  <c r="S7" i="1"/>
  <c r="T7" i="1" s="1"/>
  <c r="R6" i="1"/>
  <c r="S28" i="1" l="1"/>
  <c r="T28" i="1" s="1"/>
  <c r="R27" i="1"/>
  <c r="S27" i="1" s="1"/>
  <c r="T27" i="1" s="1"/>
  <c r="R5" i="1"/>
  <c r="S6" i="1"/>
  <c r="T6" i="1" s="1"/>
  <c r="S5" i="1" l="1"/>
  <c r="T5" i="1" s="1"/>
  <c r="R4" i="1"/>
  <c r="S4" i="1" s="1"/>
  <c r="T4" i="1" s="1"/>
</calcChain>
</file>

<file path=xl/sharedStrings.xml><?xml version="1.0" encoding="utf-8"?>
<sst xmlns="http://schemas.openxmlformats.org/spreadsheetml/2006/main" count="31" uniqueCount="20">
  <si>
    <t>Hombres, 2019</t>
  </si>
  <si>
    <t>Age x</t>
  </si>
  <si>
    <t>n</t>
  </si>
  <si>
    <t>nDx</t>
  </si>
  <si>
    <t>nDxi</t>
  </si>
  <si>
    <t>nqx</t>
  </si>
  <si>
    <t>e0</t>
  </si>
  <si>
    <t>nqx_i</t>
  </si>
  <si>
    <t>ndx_i</t>
  </si>
  <si>
    <t>L</t>
  </si>
  <si>
    <t>T</t>
  </si>
  <si>
    <t>e0_i</t>
  </si>
  <si>
    <t>diff</t>
  </si>
  <si>
    <t>Mujeres, 2019</t>
  </si>
  <si>
    <t xml:space="preserve">Sin homicidios </t>
  </si>
  <si>
    <t xml:space="preserve">Con homicidios </t>
  </si>
  <si>
    <t xml:space="preserve">Hombres </t>
  </si>
  <si>
    <t xml:space="preserve">Mujeres </t>
  </si>
  <si>
    <t>Campeche: Tabla de vida de 2019 de causa eliminada (homicidios) masculina, 2019</t>
  </si>
  <si>
    <t>Campeche: Tabla de vida de 2019 de causa eliminada (homicidios) femenina,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</si>
</sst>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Georgia"/>
      <family val="1"/>
    </font>
    <font>
      <sz val="7"/>
      <color theme="1"/>
      <name val="Segoe UI"/>
      <family val="2"/>
    </font>
    <font>
      <sz val="11"/>
      <name val="Calibri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3" fontId="3" fillId="3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3" fontId="3" fillId="4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2" fontId="6" fillId="5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2" fontId="6" fillId="6" borderId="0" xfId="0" applyNumberFormat="1" applyFont="1" applyFill="1" applyAlignment="1">
      <alignment horizontal="center"/>
    </xf>
    <xf numFmtId="2" fontId="1" fillId="0" borderId="5" xfId="0" applyNumberFormat="1" applyFont="1" applyBorder="1"/>
    <xf numFmtId="2" fontId="3" fillId="3" borderId="0" xfId="0" applyNumberFormat="1" applyFont="1" applyFill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3" borderId="7" xfId="0" applyNumberFormat="1" applyFont="1" applyFill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3" fontId="3" fillId="4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2" fontId="3" fillId="3" borderId="7" xfId="0" applyNumberFormat="1" applyFont="1" applyFill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2" fontId="1" fillId="0" borderId="8" xfId="0" applyNumberFormat="1" applyFont="1" applyBorder="1"/>
    <xf numFmtId="3" fontId="3" fillId="8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2" fontId="6" fillId="9" borderId="0" xfId="0" applyNumberFormat="1" applyFont="1" applyFill="1" applyAlignment="1">
      <alignment horizontal="center"/>
    </xf>
    <xf numFmtId="2" fontId="6" fillId="10" borderId="0" xfId="0" applyNumberFormat="1" applyFont="1" applyFill="1" applyAlignment="1">
      <alignment horizontal="center"/>
    </xf>
    <xf numFmtId="2" fontId="3" fillId="8" borderId="0" xfId="0" applyNumberFormat="1" applyFont="1" applyFill="1" applyAlignment="1">
      <alignment horizontal="center"/>
    </xf>
    <xf numFmtId="3" fontId="3" fillId="8" borderId="7" xfId="0" applyNumberFormat="1" applyFont="1" applyFill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2" fontId="3" fillId="8" borderId="7" xfId="0" applyNumberFormat="1" applyFont="1" applyFill="1" applyBorder="1" applyAlignment="1">
      <alignment horizontal="center"/>
    </xf>
    <xf numFmtId="0" fontId="7" fillId="8" borderId="9" xfId="0" applyFont="1" applyFill="1" applyBorder="1" applyAlignment="1">
      <alignment horizontal="right" vertical="center"/>
    </xf>
    <xf numFmtId="2" fontId="3" fillId="11" borderId="7" xfId="0" applyNumberFormat="1" applyFont="1" applyFill="1" applyBorder="1" applyAlignment="1">
      <alignment horizontal="center"/>
    </xf>
    <xf numFmtId="0" fontId="7" fillId="0" borderId="9" xfId="0" applyFont="1" applyBorder="1" applyAlignment="1">
      <alignment horizontal="right" vertical="center"/>
    </xf>
    <xf numFmtId="0" fontId="0" fillId="0" borderId="10" xfId="0" applyBorder="1"/>
    <xf numFmtId="0" fontId="2" fillId="0" borderId="0" xfId="0" applyFont="1"/>
    <xf numFmtId="2" fontId="0" fillId="0" borderId="10" xfId="0" applyNumberFormat="1" applyBorder="1"/>
    <xf numFmtId="2" fontId="0" fillId="0" borderId="0" xfId="0" applyNumberFormat="1"/>
    <xf numFmtId="0" fontId="2" fillId="12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</cellXfs>
  <cellStyles count="2">
    <cellStyle name="Normal" xfId="0" builtinId="0"/>
    <cellStyle name="Normal 2" xfId="1" xr:uid="{DFA19E9F-1D2E-4F85-B65B-A653ABB63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Comparación de nqx, nqx_i en hombres, Campeche 2019</a:t>
            </a:r>
            <a:endParaRPr lang="es-MX"/>
          </a:p>
        </c:rich>
      </c:tx>
      <c:layout>
        <c:manualLayout>
          <c:xMode val="edge"/>
          <c:yMode val="edge"/>
          <c:x val="0.1548333333333333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xVal>
          <c:yVal>
            <c:numRef>
              <c:f>'Decrementos múltiples'!$I$4:$I$22</c:f>
              <c:numCache>
                <c:formatCode>0.0000</c:formatCode>
                <c:ptCount val="19"/>
                <c:pt idx="0">
                  <c:v>1.32E-2</c:v>
                </c:pt>
                <c:pt idx="1">
                  <c:v>1.6000000000000001E-3</c:v>
                </c:pt>
                <c:pt idx="2">
                  <c:v>1.8E-3</c:v>
                </c:pt>
                <c:pt idx="3">
                  <c:v>1.4E-3</c:v>
                </c:pt>
                <c:pt idx="4">
                  <c:v>3.8999999999999998E-3</c:v>
                </c:pt>
                <c:pt idx="5">
                  <c:v>8.3000000000000001E-3</c:v>
                </c:pt>
                <c:pt idx="6">
                  <c:v>1.0200000000000001E-2</c:v>
                </c:pt>
                <c:pt idx="7">
                  <c:v>9.9000000000000008E-3</c:v>
                </c:pt>
                <c:pt idx="8">
                  <c:v>1.2800000000000001E-2</c:v>
                </c:pt>
                <c:pt idx="9">
                  <c:v>1.5599999999999999E-2</c:v>
                </c:pt>
                <c:pt idx="10">
                  <c:v>1.7000000000000001E-2</c:v>
                </c:pt>
                <c:pt idx="11">
                  <c:v>2.3199999999999998E-2</c:v>
                </c:pt>
                <c:pt idx="12">
                  <c:v>3.1699999999999999E-2</c:v>
                </c:pt>
                <c:pt idx="13">
                  <c:v>3.3799999999999997E-2</c:v>
                </c:pt>
                <c:pt idx="14">
                  <c:v>3.95E-2</c:v>
                </c:pt>
                <c:pt idx="15">
                  <c:v>4.1399999999999999E-2</c:v>
                </c:pt>
                <c:pt idx="16">
                  <c:v>3.8100000000000002E-2</c:v>
                </c:pt>
                <c:pt idx="17">
                  <c:v>4.8000000000000001E-2</c:v>
                </c:pt>
                <c:pt idx="18">
                  <c:v>8.5699999999999998E-2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8-4209-8893-CE4D1D8E6C79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xVal>
          <c:yVal>
            <c:numRef>
              <c:f>'Decrementos múltiples'!$M$4:$M$22</c:f>
              <c:numCache>
                <c:formatCode>#,##0.0000</c:formatCode>
                <c:ptCount val="19"/>
                <c:pt idx="0">
                  <c:v>1.319999999999999E-2</c:v>
                </c:pt>
                <c:pt idx="1">
                  <c:v>1.6000000000000458E-3</c:v>
                </c:pt>
                <c:pt idx="2">
                  <c:v>1.8000000000000238E-3</c:v>
                </c:pt>
                <c:pt idx="3">
                  <c:v>1.3999999999999568E-3</c:v>
                </c:pt>
                <c:pt idx="4">
                  <c:v>3.6404738574959961E-3</c:v>
                </c:pt>
                <c:pt idx="5">
                  <c:v>7.3811902570599663E-3</c:v>
                </c:pt>
                <c:pt idx="6">
                  <c:v>8.6172602359791961E-3</c:v>
                </c:pt>
                <c:pt idx="7">
                  <c:v>9.1009616033133067E-3</c:v>
                </c:pt>
                <c:pt idx="8">
                  <c:v>1.1728452282395274E-2</c:v>
                </c:pt>
                <c:pt idx="9">
                  <c:v>1.4377319022966906E-2</c:v>
                </c:pt>
                <c:pt idx="10">
                  <c:v>1.6308991905400361E-2</c:v>
                </c:pt>
                <c:pt idx="11">
                  <c:v>2.2640601483512879E-2</c:v>
                </c:pt>
                <c:pt idx="12">
                  <c:v>3.0702476856664052E-2</c:v>
                </c:pt>
                <c:pt idx="13">
                  <c:v>3.3505953200948291E-2</c:v>
                </c:pt>
                <c:pt idx="14">
                  <c:v>3.9348186452502709E-2</c:v>
                </c:pt>
                <c:pt idx="15">
                  <c:v>4.1084532206535407E-2</c:v>
                </c:pt>
                <c:pt idx="16">
                  <c:v>3.7935383283175805E-2</c:v>
                </c:pt>
                <c:pt idx="17">
                  <c:v>4.8000000000000043E-2</c:v>
                </c:pt>
                <c:pt idx="18">
                  <c:v>8.5699999999999998E-2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A8-4209-8893-CE4D1D8E6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133647"/>
        <c:axId val="892134063"/>
      </c:scatterChart>
      <c:valAx>
        <c:axId val="89213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2134063"/>
        <c:crosses val="autoZero"/>
        <c:crossBetween val="midCat"/>
      </c:valAx>
      <c:valAx>
        <c:axId val="8921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213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B0F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Comparación de nqx​, nqx_i​ en mujeres, Campeche 2019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8754076850631715E-2"/>
          <c:y val="0.10893291958114719"/>
          <c:w val="0.90126060451118206"/>
          <c:h val="0.717030049104091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'Decrementos múltiples'!$I$26</c:f>
              <c:strCache>
                <c:ptCount val="1"/>
                <c:pt idx="0">
                  <c:v>nqx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xVal>
          <c:yVal>
            <c:numRef>
              <c:f>'Decrementos múltiples'!$I$27:$I$45</c:f>
              <c:numCache>
                <c:formatCode>General</c:formatCode>
                <c:ptCount val="19"/>
                <c:pt idx="0">
                  <c:v>1.1599999999999999E-2</c:v>
                </c:pt>
                <c:pt idx="1">
                  <c:v>2.2000000000000001E-3</c:v>
                </c:pt>
                <c:pt idx="2">
                  <c:v>1.1999999999999999E-3</c:v>
                </c:pt>
                <c:pt idx="3">
                  <c:v>1.4E-3</c:v>
                </c:pt>
                <c:pt idx="4">
                  <c:v>2E-3</c:v>
                </c:pt>
                <c:pt idx="5">
                  <c:v>1.8E-3</c:v>
                </c:pt>
                <c:pt idx="6">
                  <c:v>3.0999999999999999E-3</c:v>
                </c:pt>
                <c:pt idx="7">
                  <c:v>5.0000000000000001E-3</c:v>
                </c:pt>
                <c:pt idx="8">
                  <c:v>3.5999999999999999E-3</c:v>
                </c:pt>
                <c:pt idx="9">
                  <c:v>8.0000000000000002E-3</c:v>
                </c:pt>
                <c:pt idx="10">
                  <c:v>1.3599999999999999E-2</c:v>
                </c:pt>
                <c:pt idx="11">
                  <c:v>1.3599999999999999E-2</c:v>
                </c:pt>
                <c:pt idx="12">
                  <c:v>1.77E-2</c:v>
                </c:pt>
                <c:pt idx="13">
                  <c:v>2.2800000000000001E-2</c:v>
                </c:pt>
                <c:pt idx="14">
                  <c:v>2.6599999999999999E-2</c:v>
                </c:pt>
                <c:pt idx="15">
                  <c:v>3.3799999999999997E-2</c:v>
                </c:pt>
                <c:pt idx="16">
                  <c:v>3.44E-2</c:v>
                </c:pt>
                <c:pt idx="17">
                  <c:v>3.8699999999999998E-2</c:v>
                </c:pt>
                <c:pt idx="18">
                  <c:v>7.9200000000000007E-2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0D-43E6-A490-ADC61E2CECF6}"/>
            </c:ext>
          </c:extLst>
        </c:ser>
        <c:ser>
          <c:idx val="1"/>
          <c:order val="1"/>
          <c:tx>
            <c:strRef>
              <c:f>'Decrementos múltiples'!$M$26</c:f>
              <c:strCache>
                <c:ptCount val="1"/>
                <c:pt idx="0">
                  <c:v>nqx_i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xVal>
          <c:yVal>
            <c:numRef>
              <c:f>'Decrementos múltiples'!$M$27:$M$45</c:f>
              <c:numCache>
                <c:formatCode>#,##0.0000</c:formatCode>
                <c:ptCount val="19"/>
                <c:pt idx="0">
                  <c:v>1.1600000000000055E-2</c:v>
                </c:pt>
                <c:pt idx="1">
                  <c:v>2.1999999999999797E-3</c:v>
                </c:pt>
                <c:pt idx="2">
                  <c:v>1.1999999999999789E-3</c:v>
                </c:pt>
                <c:pt idx="3">
                  <c:v>1.1201568878755896E-3</c:v>
                </c:pt>
                <c:pt idx="4">
                  <c:v>1.733564619248229E-3</c:v>
                </c:pt>
                <c:pt idx="5">
                  <c:v>1.5232879567916857E-3</c:v>
                </c:pt>
                <c:pt idx="6">
                  <c:v>3.0999999999999917E-3</c:v>
                </c:pt>
                <c:pt idx="7">
                  <c:v>4.8651941360320361E-3</c:v>
                </c:pt>
                <c:pt idx="8">
                  <c:v>3.6000000000000476E-3</c:v>
                </c:pt>
                <c:pt idx="9">
                  <c:v>7.587780876735839E-3</c:v>
                </c:pt>
                <c:pt idx="10">
                  <c:v>1.3462162840962355E-2</c:v>
                </c:pt>
                <c:pt idx="11">
                  <c:v>1.3599999999999945E-2</c:v>
                </c:pt>
                <c:pt idx="12">
                  <c:v>1.7700000000000049E-2</c:v>
                </c:pt>
                <c:pt idx="13">
                  <c:v>2.2800000000000042E-2</c:v>
                </c:pt>
                <c:pt idx="14">
                  <c:v>2.6599999999999957E-2</c:v>
                </c:pt>
                <c:pt idx="15">
                  <c:v>3.3800000000000052E-2</c:v>
                </c:pt>
                <c:pt idx="16">
                  <c:v>3.4399999999999986E-2</c:v>
                </c:pt>
                <c:pt idx="17">
                  <c:v>3.8699999999999957E-2</c:v>
                </c:pt>
                <c:pt idx="18">
                  <c:v>7.9200000000000048E-2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0D-43E6-A490-ADC61E2CE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72591"/>
        <c:axId val="904165103"/>
      </c:scatterChart>
      <c:valAx>
        <c:axId val="90417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4165103"/>
        <c:crosses val="autoZero"/>
        <c:crossBetween val="midCat"/>
      </c:valAx>
      <c:valAx>
        <c:axId val="90416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4172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Esperanza de vida al nacer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'Decrementos múltiples'!$X$29</c:f>
              <c:strCache>
                <c:ptCount val="1"/>
                <c:pt idx="0">
                  <c:v>Hombres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'Decrementos múltiples'!$V$30:$V$31</c:f>
              <c:strCache>
                <c:ptCount val="2"/>
                <c:pt idx="0">
                  <c:v>Sin homicidios </c:v>
                </c:pt>
                <c:pt idx="1">
                  <c:v>Con homicidios </c:v>
                </c:pt>
              </c:strCache>
            </c:strRef>
          </c:cat>
          <c:val>
            <c:numRef>
              <c:f>'Decrementos múltiples'!$X$30:$X$31</c:f>
              <c:numCache>
                <c:formatCode>0.00</c:formatCode>
                <c:ptCount val="2"/>
                <c:pt idx="0">
                  <c:v>81.58</c:v>
                </c:pt>
                <c:pt idx="1">
                  <c:v>82.009519399409186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D-41D7-862D-D294536B6DC1}"/>
            </c:ext>
          </c:extLst>
        </c:ser>
        <c:ser>
          <c:idx val="2"/>
          <c:order val="2"/>
          <c:tx>
            <c:strRef>
              <c:f>'Decrementos múltiples'!$Y$29</c:f>
              <c:strCache>
                <c:ptCount val="1"/>
                <c:pt idx="0">
                  <c:v>Mujeres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'Decrementos múltiples'!$V$30:$V$31</c:f>
              <c:strCache>
                <c:ptCount val="2"/>
                <c:pt idx="0">
                  <c:v>Sin homicidios </c:v>
                </c:pt>
                <c:pt idx="1">
                  <c:v>Con homicidios </c:v>
                </c:pt>
              </c:strCache>
            </c:strRef>
          </c:cat>
          <c:val>
            <c:numRef>
              <c:f>'Decrementos múltiples'!$Y$30:$Y$31</c:f>
              <c:numCache>
                <c:formatCode>0.00</c:formatCode>
                <c:ptCount val="2"/>
                <c:pt idx="0">
                  <c:v>84.67</c:v>
                </c:pt>
                <c:pt idx="1">
                  <c:v>85.764487552356258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0D-41D7-862D-D294536B6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63208127"/>
        <c:axId val="11632197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'Decrementos múltiples'!$W$29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'Decrementos múltiples'!$V$30:$V$31</c15:sqref>
                        </c15:formulaRef>
                      </c:ext>
                    </c:extLst>
                    <c:strCache>
                      <c:ptCount val="2"/>
                      <c:pt idx="0">
                        <c:v>Sin homicidios </c:v>
                      </c:pt>
                      <c:pt idx="1">
                        <c:v>Con homicidios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'Decrementos múltiples'!$W$30:$W$31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90D-41D7-862D-D294536B6DC1}"/>
                  </c:ext>
                </c:extLst>
              </c15:ser>
            </c15:filteredBarSeries>
          </c:ext>
        </c:extLst>
      </c:barChart>
      <c:catAx>
        <c:axId val="116320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3219775"/>
        <c:crosses val="autoZero"/>
        <c:auto val="1"/>
        <c:lblAlgn val="ctr"/>
        <c:lblOffset val="100"/>
        <c:noMultiLvlLbl val="0"/>
      </c:catAx>
      <c:valAx>
        <c:axId val="116321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320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.xml"/><Relationship Id="rId5" Type="http://schemas.openxmlformats.org/officeDocument/2006/relationships/image" Target="../media/image5.png"/><Relationship Id="rId10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272345</xdr:colOff>
      <xdr:row>1</xdr:row>
      <xdr:rowOff>64535</xdr:rowOff>
    </xdr:from>
    <xdr:ext cx="381000" cy="257175"/>
    <xdr:pic>
      <xdr:nvPicPr>
        <xdr:cNvPr id="11" name="image7.png" title="Image">
          <a:extLst>
            <a:ext uri="{FF2B5EF4-FFF2-40B4-BE49-F238E27FC236}">
              <a16:creationId xmlns:a16="http://schemas.microsoft.com/office/drawing/2014/main" id="{C6C93ACC-6EF7-4566-9878-C7F5A512FB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66631" y="245964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27523</xdr:colOff>
      <xdr:row>1</xdr:row>
      <xdr:rowOff>93259</xdr:rowOff>
    </xdr:from>
    <xdr:ext cx="352425" cy="257175"/>
    <xdr:pic>
      <xdr:nvPicPr>
        <xdr:cNvPr id="12" name="image2.png" title="Image">
          <a:extLst>
            <a:ext uri="{FF2B5EF4-FFF2-40B4-BE49-F238E27FC236}">
              <a16:creationId xmlns:a16="http://schemas.microsoft.com/office/drawing/2014/main" id="{56B4D766-4739-4B40-93A9-84CE77EB1D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95448" y="272976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179412</xdr:colOff>
      <xdr:row>1</xdr:row>
      <xdr:rowOff>180723</xdr:rowOff>
    </xdr:from>
    <xdr:ext cx="323850" cy="266700"/>
    <xdr:pic>
      <xdr:nvPicPr>
        <xdr:cNvPr id="13" name="image9.png" title="Image">
          <a:extLst>
            <a:ext uri="{FF2B5EF4-FFF2-40B4-BE49-F238E27FC236}">
              <a16:creationId xmlns:a16="http://schemas.microsoft.com/office/drawing/2014/main" id="{D8082C23-C497-4E1A-BB4B-E89AB39EB13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09571" y="362152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283936</xdr:colOff>
      <xdr:row>1</xdr:row>
      <xdr:rowOff>114930</xdr:rowOff>
    </xdr:from>
    <xdr:ext cx="171450" cy="257175"/>
    <xdr:pic>
      <xdr:nvPicPr>
        <xdr:cNvPr id="14" name="image8.png" title="Image">
          <a:extLst>
            <a:ext uri="{FF2B5EF4-FFF2-40B4-BE49-F238E27FC236}">
              <a16:creationId xmlns:a16="http://schemas.microsoft.com/office/drawing/2014/main" id="{FCE48E92-B218-4D97-8A0C-979B9616740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80126" y="296359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167822</xdr:colOff>
      <xdr:row>1</xdr:row>
      <xdr:rowOff>104851</xdr:rowOff>
    </xdr:from>
    <xdr:ext cx="381000" cy="257175"/>
    <xdr:pic>
      <xdr:nvPicPr>
        <xdr:cNvPr id="15" name="image6.png" title="Image">
          <a:extLst>
            <a:ext uri="{FF2B5EF4-FFF2-40B4-BE49-F238E27FC236}">
              <a16:creationId xmlns:a16="http://schemas.microsoft.com/office/drawing/2014/main" id="{D0D5862E-753F-4ECC-AB2F-3BD361A5FBFA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30044" y="286280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206627</xdr:colOff>
      <xdr:row>1</xdr:row>
      <xdr:rowOff>107546</xdr:rowOff>
    </xdr:from>
    <xdr:ext cx="476250" cy="266700"/>
    <xdr:pic>
      <xdr:nvPicPr>
        <xdr:cNvPr id="16" name="image5.png" title="Image">
          <a:extLst>
            <a:ext uri="{FF2B5EF4-FFF2-40B4-BE49-F238E27FC236}">
              <a16:creationId xmlns:a16="http://schemas.microsoft.com/office/drawing/2014/main" id="{71620EB9-189A-41F0-91C7-94473CD888E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632976" y="2889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17" name="image4.png" title="Image">
          <a:extLst>
            <a:ext uri="{FF2B5EF4-FFF2-40B4-BE49-F238E27FC236}">
              <a16:creationId xmlns:a16="http://schemas.microsoft.com/office/drawing/2014/main" id="{D6876BAA-0DEA-41D4-B06C-38385FEE99E9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934950" y="43815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125993</xdr:colOff>
      <xdr:row>1</xdr:row>
      <xdr:rowOff>117625</xdr:rowOff>
    </xdr:from>
    <xdr:ext cx="476250" cy="266700"/>
    <xdr:pic>
      <xdr:nvPicPr>
        <xdr:cNvPr id="18" name="image3.png" title="Image">
          <a:extLst>
            <a:ext uri="{FF2B5EF4-FFF2-40B4-BE49-F238E27FC236}">
              <a16:creationId xmlns:a16="http://schemas.microsoft.com/office/drawing/2014/main" id="{0C66389A-6ECD-4365-80A3-F94CD39FEDD8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616469" y="299054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113921</xdr:colOff>
      <xdr:row>1</xdr:row>
      <xdr:rowOff>108625</xdr:rowOff>
    </xdr:from>
    <xdr:ext cx="428625" cy="266700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7BABC15-20EB-4E14-9877-D166F707A4BF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143827" y="288342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319012</xdr:colOff>
      <xdr:row>24</xdr:row>
      <xdr:rowOff>137230</xdr:rowOff>
    </xdr:from>
    <xdr:ext cx="323850" cy="266700"/>
    <xdr:pic>
      <xdr:nvPicPr>
        <xdr:cNvPr id="38" name="image9.png" title="Image">
          <a:extLst>
            <a:ext uri="{FF2B5EF4-FFF2-40B4-BE49-F238E27FC236}">
              <a16:creationId xmlns:a16="http://schemas.microsoft.com/office/drawing/2014/main" id="{9F81FE91-265C-4D76-BCC7-8A01B5D7E54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149171" y="4491516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316405</xdr:colOff>
      <xdr:row>24</xdr:row>
      <xdr:rowOff>99203</xdr:rowOff>
    </xdr:from>
    <xdr:ext cx="171450" cy="257175"/>
    <xdr:pic>
      <xdr:nvPicPr>
        <xdr:cNvPr id="39" name="image8.png" title="Image">
          <a:extLst>
            <a:ext uri="{FF2B5EF4-FFF2-40B4-BE49-F238E27FC236}">
              <a16:creationId xmlns:a16="http://schemas.microsoft.com/office/drawing/2014/main" id="{5E25F899-40D5-4592-B7D6-5865FAB1575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7160" y="4412411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214085</xdr:colOff>
      <xdr:row>24</xdr:row>
      <xdr:rowOff>84877</xdr:rowOff>
    </xdr:from>
    <xdr:ext cx="381000" cy="257175"/>
    <xdr:pic>
      <xdr:nvPicPr>
        <xdr:cNvPr id="40" name="image6.png" title="Image">
          <a:extLst>
            <a:ext uri="{FF2B5EF4-FFF2-40B4-BE49-F238E27FC236}">
              <a16:creationId xmlns:a16="http://schemas.microsoft.com/office/drawing/2014/main" id="{5794EEE9-C4A6-4363-B6E7-E0A5516B1AF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64548" y="460043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199168</xdr:colOff>
      <xdr:row>24</xdr:row>
      <xdr:rowOff>61358</xdr:rowOff>
    </xdr:from>
    <xdr:ext cx="381000" cy="257175"/>
    <xdr:pic>
      <xdr:nvPicPr>
        <xdr:cNvPr id="41" name="image7.png" title="Image">
          <a:extLst>
            <a:ext uri="{FF2B5EF4-FFF2-40B4-BE49-F238E27FC236}">
              <a16:creationId xmlns:a16="http://schemas.microsoft.com/office/drawing/2014/main" id="{3C09FEA9-2465-4B4B-9953-3F09AB0D47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93454" y="4415644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181808</xdr:colOff>
      <xdr:row>24</xdr:row>
      <xdr:rowOff>119752</xdr:rowOff>
    </xdr:from>
    <xdr:ext cx="352425" cy="257175"/>
    <xdr:pic>
      <xdr:nvPicPr>
        <xdr:cNvPr id="42" name="image2.png" title="Image">
          <a:extLst>
            <a:ext uri="{FF2B5EF4-FFF2-40B4-BE49-F238E27FC236}">
              <a16:creationId xmlns:a16="http://schemas.microsoft.com/office/drawing/2014/main" id="{4AF6F193-C029-4721-AE6A-B5C08A667E0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49733" y="4432960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191306</xdr:colOff>
      <xdr:row>24</xdr:row>
      <xdr:rowOff>96912</xdr:rowOff>
    </xdr:from>
    <xdr:ext cx="476250" cy="266700"/>
    <xdr:pic>
      <xdr:nvPicPr>
        <xdr:cNvPr id="43" name="image5.png" title="Image">
          <a:extLst>
            <a:ext uri="{FF2B5EF4-FFF2-40B4-BE49-F238E27FC236}">
              <a16:creationId xmlns:a16="http://schemas.microsoft.com/office/drawing/2014/main" id="{4C29012D-ADDD-425B-9ABE-0C8A18C85E8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617655" y="4451198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221544</xdr:colOff>
      <xdr:row>24</xdr:row>
      <xdr:rowOff>177547</xdr:rowOff>
    </xdr:from>
    <xdr:ext cx="390525" cy="266700"/>
    <xdr:pic>
      <xdr:nvPicPr>
        <xdr:cNvPr id="44" name="image4.png" title="Image">
          <a:extLst>
            <a:ext uri="{FF2B5EF4-FFF2-40B4-BE49-F238E27FC236}">
              <a16:creationId xmlns:a16="http://schemas.microsoft.com/office/drawing/2014/main" id="{99BD39D9-BE53-4890-82E5-C22F81185FC5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179957" y="4531833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241703</xdr:colOff>
      <xdr:row>24</xdr:row>
      <xdr:rowOff>96913</xdr:rowOff>
    </xdr:from>
    <xdr:ext cx="476250" cy="266700"/>
    <xdr:pic>
      <xdr:nvPicPr>
        <xdr:cNvPr id="45" name="image3.png" title="Image">
          <a:extLst>
            <a:ext uri="{FF2B5EF4-FFF2-40B4-BE49-F238E27FC236}">
              <a16:creationId xmlns:a16="http://schemas.microsoft.com/office/drawing/2014/main" id="{D6332BDA-B411-413B-B3B1-9B5455FAAAEA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732179" y="4451199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122968</xdr:colOff>
      <xdr:row>24</xdr:row>
      <xdr:rowOff>137230</xdr:rowOff>
    </xdr:from>
    <xdr:ext cx="428625" cy="266700"/>
    <xdr:pic>
      <xdr:nvPicPr>
        <xdr:cNvPr id="46" name="image1.png" title="Image">
          <a:extLst>
            <a:ext uri="{FF2B5EF4-FFF2-40B4-BE49-F238E27FC236}">
              <a16:creationId xmlns:a16="http://schemas.microsoft.com/office/drawing/2014/main" id="{99BD2125-4984-4D9C-AF7A-87D449E9B76B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3911539" y="4491516"/>
          <a:ext cx="428625" cy="266700"/>
        </a:xfrm>
        <a:prstGeom prst="rect">
          <a:avLst/>
        </a:prstGeom>
        <a:noFill/>
      </xdr:spPr>
    </xdr:pic>
    <xdr:clientData fLocksWithSheet="0"/>
  </xdr:oneCellAnchor>
  <xdr:twoCellAnchor>
    <xdr:from>
      <xdr:col>21</xdr:col>
      <xdr:colOff>18303</xdr:colOff>
      <xdr:row>2</xdr:row>
      <xdr:rowOff>6787</xdr:rowOff>
    </xdr:from>
    <xdr:to>
      <xdr:col>28</xdr:col>
      <xdr:colOff>59906</xdr:colOff>
      <xdr:row>24</xdr:row>
      <xdr:rowOff>35942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98EA90EA-D102-4A6E-91B3-C3D431F9E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754811</xdr:colOff>
      <xdr:row>2</xdr:row>
      <xdr:rowOff>23961</xdr:rowOff>
    </xdr:from>
    <xdr:to>
      <xdr:col>36</xdr:col>
      <xdr:colOff>119811</xdr:colOff>
      <xdr:row>24</xdr:row>
      <xdr:rowOff>35942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536D3352-4565-401E-855C-7079F7399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766350</xdr:colOff>
      <xdr:row>28</xdr:row>
      <xdr:rowOff>20165</xdr:rowOff>
    </xdr:from>
    <xdr:to>
      <xdr:col>33</xdr:col>
      <xdr:colOff>751974</xdr:colOff>
      <xdr:row>48</xdr:row>
      <xdr:rowOff>145727</xdr:rowOff>
    </xdr:to>
    <xdr:graphicFrame macro="">
      <xdr:nvGraphicFramePr>
        <xdr:cNvPr id="103" name="Gráfico 102">
          <a:extLst>
            <a:ext uri="{FF2B5EF4-FFF2-40B4-BE49-F238E27FC236}">
              <a16:creationId xmlns:a16="http://schemas.microsoft.com/office/drawing/2014/main" id="{FC57FB4E-23B8-4C46-A820-60C5373CC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dre\Downloads\LT_CausaElimin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Coefficients"/>
      <sheetName val="Model LTs"/>
      <sheetName val="Decrementos Múltiples"/>
      <sheetName val="LT"/>
      <sheetName val="Homicidios"/>
      <sheetName val="Defunciones generales"/>
    </sheetNames>
    <sheetDataSet>
      <sheetData sheetId="0"/>
      <sheetData sheetId="1"/>
      <sheetData sheetId="2"/>
      <sheetData sheetId="3"/>
      <sheetData sheetId="4">
        <row r="39">
          <cell r="E39">
            <v>0.13652500000000001</v>
          </cell>
        </row>
        <row r="96">
          <cell r="E96">
            <v>0.12823000000000001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8C2D-9EFF-461A-A905-02CB6B589CA5}">
  <dimension ref="B1:Y45"/>
  <sheetViews>
    <sheetView tabSelected="1" zoomScale="76" zoomScaleNormal="76" workbookViewId="0">
      <selection activeCell="Y41" sqref="Y41"/>
    </sheetView>
  </sheetViews>
  <sheetFormatPr baseColWidth="10" defaultRowHeight="14.4"/>
  <cols>
    <col min="2" max="14" width="11" bestFit="1" customWidth="1"/>
    <col min="15" max="15" width="11.88671875" bestFit="1" customWidth="1"/>
    <col min="16" max="16" width="11.6640625" bestFit="1" customWidth="1"/>
    <col min="17" max="17" width="11.88671875" bestFit="1" customWidth="1"/>
    <col min="18" max="18" width="11.77734375" bestFit="1" customWidth="1"/>
    <col min="19" max="19" width="11.88671875" bestFit="1" customWidth="1"/>
    <col min="20" max="20" width="11" bestFit="1" customWidth="1"/>
  </cols>
  <sheetData>
    <row r="1" spans="2:20">
      <c r="B1" s="52" t="s">
        <v>18</v>
      </c>
      <c r="C1" s="52"/>
      <c r="D1" s="52"/>
      <c r="E1" s="52"/>
      <c r="F1" s="52"/>
      <c r="G1" s="52"/>
      <c r="H1" s="52"/>
    </row>
    <row r="2" spans="2:20"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2:20">
      <c r="B3" s="1" t="s">
        <v>1</v>
      </c>
      <c r="C3" s="2" t="s">
        <v>2</v>
      </c>
      <c r="D3" s="2" t="s">
        <v>3</v>
      </c>
      <c r="E3" s="2" t="s">
        <v>4</v>
      </c>
      <c r="F3" s="3"/>
      <c r="G3" s="4"/>
      <c r="H3" s="4"/>
      <c r="I3" s="4" t="s">
        <v>5</v>
      </c>
      <c r="J3" s="4"/>
      <c r="K3" s="5" t="s">
        <v>6</v>
      </c>
      <c r="L3" s="4"/>
      <c r="M3" s="4" t="s">
        <v>7</v>
      </c>
      <c r="N3" s="4"/>
      <c r="O3" s="4" t="s">
        <v>8</v>
      </c>
      <c r="P3" s="4"/>
      <c r="Q3" s="4" t="s">
        <v>9</v>
      </c>
      <c r="R3" s="4" t="s">
        <v>10</v>
      </c>
      <c r="S3" s="5"/>
      <c r="T3" s="6" t="s">
        <v>12</v>
      </c>
    </row>
    <row r="4" spans="2:20">
      <c r="B4" s="7">
        <v>0</v>
      </c>
      <c r="C4" s="8">
        <v>1</v>
      </c>
      <c r="D4" s="9">
        <v>103</v>
      </c>
      <c r="E4" s="9">
        <v>0</v>
      </c>
      <c r="F4" s="10">
        <f>(D4-E4)/D4</f>
        <v>1</v>
      </c>
      <c r="G4" s="11">
        <v>7787</v>
      </c>
      <c r="H4" s="12">
        <v>0.98680000000000001</v>
      </c>
      <c r="I4" s="13">
        <v>1.32E-2</v>
      </c>
      <c r="J4" s="14">
        <v>8.0500000000000002E-2</v>
      </c>
      <c r="K4" s="15">
        <v>81.58</v>
      </c>
      <c r="L4" s="13">
        <f>H4^F4</f>
        <v>0.98680000000000001</v>
      </c>
      <c r="M4" s="16">
        <f t="shared" ref="M4:M22" si="0">1-L4</f>
        <v>1.319999999999999E-2</v>
      </c>
      <c r="N4" s="17">
        <v>100000</v>
      </c>
      <c r="O4" s="18">
        <f t="shared" ref="O4:O22" si="1">N4*M4</f>
        <v>1319.9999999999989</v>
      </c>
      <c r="P4" s="18">
        <f>C4+(F4*(I4/M4)*(J4-C4))</f>
        <v>8.0499999999999239E-2</v>
      </c>
      <c r="Q4" s="17">
        <f t="shared" ref="Q4:Q20" si="2">(C4*N5)+(P4*O4)</f>
        <v>98786.26</v>
      </c>
      <c r="R4" s="17">
        <f t="shared" ref="R4:R21" si="3">R5+Q4</f>
        <v>8200951.9399409192</v>
      </c>
      <c r="S4" s="19">
        <f t="shared" ref="S4:S22" si="4">R4/N4</f>
        <v>82.009519399409186</v>
      </c>
      <c r="T4" s="20">
        <f t="shared" ref="T4:T22" si="5">S4-K4</f>
        <v>0.42951939940918749</v>
      </c>
    </row>
    <row r="5" spans="2:20">
      <c r="B5" s="7">
        <v>1</v>
      </c>
      <c r="C5" s="8">
        <v>4</v>
      </c>
      <c r="D5" s="9">
        <v>12</v>
      </c>
      <c r="E5" s="9">
        <v>0</v>
      </c>
      <c r="F5" s="10">
        <f t="shared" ref="F5:F22" si="6">(D5-E5)/D5</f>
        <v>1</v>
      </c>
      <c r="G5" s="11">
        <v>7684</v>
      </c>
      <c r="H5" s="12">
        <v>0.99839999999999995</v>
      </c>
      <c r="I5" s="13">
        <v>1.6000000000000001E-3</v>
      </c>
      <c r="J5" s="14">
        <v>1.6131</v>
      </c>
      <c r="K5" s="21">
        <v>81.66</v>
      </c>
      <c r="L5" s="13">
        <f>H5^F5</f>
        <v>0.99839999999999995</v>
      </c>
      <c r="M5" s="16">
        <f t="shared" si="0"/>
        <v>1.6000000000000458E-3</v>
      </c>
      <c r="N5" s="17">
        <f t="shared" ref="N5:N22" si="7">N4*L4</f>
        <v>98680</v>
      </c>
      <c r="O5" s="18">
        <f t="shared" si="1"/>
        <v>157.88800000000452</v>
      </c>
      <c r="P5" s="18">
        <f>C5+(F5*(I5/M5)*(J5-C5))</f>
        <v>1.6131000000000686</v>
      </c>
      <c r="Q5" s="17">
        <f t="shared" si="2"/>
        <v>394343.13713280001</v>
      </c>
      <c r="R5" s="17">
        <f t="shared" si="3"/>
        <v>8102165.6799409194</v>
      </c>
      <c r="S5" s="10">
        <f t="shared" si="4"/>
        <v>82.105448722546811</v>
      </c>
      <c r="T5" s="20">
        <f t="shared" si="5"/>
        <v>0.44544872254681422</v>
      </c>
    </row>
    <row r="6" spans="2:20">
      <c r="B6" s="7">
        <v>5</v>
      </c>
      <c r="C6" s="8">
        <v>5</v>
      </c>
      <c r="D6" s="9">
        <v>14</v>
      </c>
      <c r="E6" s="9">
        <v>0</v>
      </c>
      <c r="F6" s="10">
        <f>(D6-E6)/D6</f>
        <v>1</v>
      </c>
      <c r="G6" s="11">
        <v>7672</v>
      </c>
      <c r="H6" s="12">
        <v>0.99819999999999998</v>
      </c>
      <c r="I6" s="13">
        <v>1.8E-3</v>
      </c>
      <c r="J6" s="14">
        <v>2.5</v>
      </c>
      <c r="K6" s="21">
        <v>77.78</v>
      </c>
      <c r="L6" s="13">
        <f t="shared" ref="L6:L22" si="8">H6^F6</f>
        <v>0.99819999999999998</v>
      </c>
      <c r="M6" s="16">
        <f t="shared" si="0"/>
        <v>1.8000000000000238E-3</v>
      </c>
      <c r="N6" s="17">
        <f t="shared" si="7"/>
        <v>98522.111999999994</v>
      </c>
      <c r="O6" s="18">
        <f t="shared" si="1"/>
        <v>177.33980160000235</v>
      </c>
      <c r="P6" s="18">
        <f>C6+(F6*(I6/M6)*(J6-C6))</f>
        <v>2.5000000000000329</v>
      </c>
      <c r="Q6" s="17">
        <f t="shared" si="2"/>
        <v>492167.21049599996</v>
      </c>
      <c r="R6" s="17">
        <f t="shared" si="3"/>
        <v>7707822.5428081192</v>
      </c>
      <c r="S6" s="10">
        <f t="shared" si="4"/>
        <v>78.234442871140644</v>
      </c>
      <c r="T6" s="20">
        <f t="shared" si="5"/>
        <v>0.45444287114064252</v>
      </c>
    </row>
    <row r="7" spans="2:20">
      <c r="B7" s="7">
        <v>10</v>
      </c>
      <c r="C7" s="8">
        <v>5</v>
      </c>
      <c r="D7" s="9">
        <v>11</v>
      </c>
      <c r="E7" s="9">
        <v>0</v>
      </c>
      <c r="F7" s="10">
        <f t="shared" si="6"/>
        <v>1</v>
      </c>
      <c r="G7" s="11">
        <v>7658</v>
      </c>
      <c r="H7" s="12">
        <v>0.99860000000000004</v>
      </c>
      <c r="I7" s="13">
        <v>1.4E-3</v>
      </c>
      <c r="J7" s="14">
        <v>2.5</v>
      </c>
      <c r="K7" s="21">
        <v>72.900000000000006</v>
      </c>
      <c r="L7" s="13">
        <f t="shared" si="8"/>
        <v>0.99860000000000004</v>
      </c>
      <c r="M7" s="16">
        <f t="shared" si="0"/>
        <v>1.3999999999999568E-3</v>
      </c>
      <c r="N7" s="17">
        <f t="shared" si="7"/>
        <v>98344.772198399995</v>
      </c>
      <c r="O7" s="18">
        <f t="shared" si="1"/>
        <v>137.68268107775575</v>
      </c>
      <c r="P7" s="13">
        <f t="shared" ref="P7:P20" si="9">(((-5/24)*O6)+((2.5)*O7)+((5/24)*O8))/O7</f>
        <v>2.7726385939849711</v>
      </c>
      <c r="Q7" s="17">
        <f t="shared" si="2"/>
        <v>491417.19190189074</v>
      </c>
      <c r="R7" s="17">
        <f t="shared" si="3"/>
        <v>7215655.3323121192</v>
      </c>
      <c r="S7" s="10">
        <f t="shared" si="4"/>
        <v>73.371010690383329</v>
      </c>
      <c r="T7" s="20">
        <f t="shared" si="5"/>
        <v>0.47101069038332355</v>
      </c>
    </row>
    <row r="8" spans="2:20">
      <c r="B8" s="7">
        <v>15</v>
      </c>
      <c r="C8" s="8">
        <v>5</v>
      </c>
      <c r="D8" s="9">
        <v>30</v>
      </c>
      <c r="E8" s="9">
        <v>2</v>
      </c>
      <c r="F8" s="10">
        <f t="shared" si="6"/>
        <v>0.93333333333333335</v>
      </c>
      <c r="G8" s="11">
        <v>7647</v>
      </c>
      <c r="H8" s="12">
        <v>0.99609999999999999</v>
      </c>
      <c r="I8" s="13">
        <v>3.8999999999999998E-3</v>
      </c>
      <c r="J8" s="14">
        <v>2.5</v>
      </c>
      <c r="K8" s="21">
        <v>68</v>
      </c>
      <c r="L8" s="13">
        <f t="shared" si="8"/>
        <v>0.996359526142504</v>
      </c>
      <c r="M8" s="16">
        <f t="shared" si="0"/>
        <v>3.6404738574959961E-3</v>
      </c>
      <c r="N8" s="17">
        <f t="shared" si="7"/>
        <v>98207.089517322238</v>
      </c>
      <c r="O8" s="18">
        <f t="shared" si="1"/>
        <v>357.52034200858071</v>
      </c>
      <c r="P8" s="13">
        <f t="shared" si="9"/>
        <v>2.840635399403928</v>
      </c>
      <c r="Q8" s="17">
        <f t="shared" si="2"/>
        <v>490263.4308160849</v>
      </c>
      <c r="R8" s="17">
        <f t="shared" si="3"/>
        <v>6724238.1404102286</v>
      </c>
      <c r="S8" s="10">
        <f t="shared" si="4"/>
        <v>68.469986978121113</v>
      </c>
      <c r="T8" s="20">
        <f t="shared" si="5"/>
        <v>0.46998697812111345</v>
      </c>
    </row>
    <row r="9" spans="2:20">
      <c r="B9" s="7">
        <v>20</v>
      </c>
      <c r="C9" s="8">
        <v>5</v>
      </c>
      <c r="D9" s="9">
        <v>63</v>
      </c>
      <c r="E9" s="9">
        <v>7</v>
      </c>
      <c r="F9" s="10">
        <f t="shared" si="6"/>
        <v>0.88888888888888884</v>
      </c>
      <c r="G9" s="11">
        <v>7617</v>
      </c>
      <c r="H9" s="12">
        <v>0.99170000000000003</v>
      </c>
      <c r="I9" s="13">
        <v>8.3000000000000001E-3</v>
      </c>
      <c r="J9" s="14">
        <v>2.5</v>
      </c>
      <c r="K9" s="21">
        <v>63.24</v>
      </c>
      <c r="L9" s="13">
        <f t="shared" si="8"/>
        <v>0.99261880974294003</v>
      </c>
      <c r="M9" s="16">
        <f t="shared" si="0"/>
        <v>7.3811902570599663E-3</v>
      </c>
      <c r="N9" s="17">
        <f t="shared" si="7"/>
        <v>97849.569175313663</v>
      </c>
      <c r="O9" s="18">
        <f t="shared" si="1"/>
        <v>722.24628665434045</v>
      </c>
      <c r="P9" s="13">
        <f t="shared" si="9"/>
        <v>2.638298586705079</v>
      </c>
      <c r="Q9" s="17">
        <f t="shared" si="2"/>
        <v>487542.11580062978</v>
      </c>
      <c r="R9" s="17">
        <f t="shared" si="3"/>
        <v>6233974.7095941436</v>
      </c>
      <c r="S9" s="10">
        <f t="shared" si="4"/>
        <v>63.709781883913543</v>
      </c>
      <c r="T9" s="20">
        <f t="shared" si="5"/>
        <v>0.46978188391354081</v>
      </c>
    </row>
    <row r="10" spans="2:20">
      <c r="B10" s="7">
        <v>25</v>
      </c>
      <c r="C10" s="8">
        <v>5</v>
      </c>
      <c r="D10" s="9">
        <v>77</v>
      </c>
      <c r="E10" s="9">
        <v>12</v>
      </c>
      <c r="F10" s="10">
        <f t="shared" si="6"/>
        <v>0.8441558441558441</v>
      </c>
      <c r="G10" s="11">
        <v>7554</v>
      </c>
      <c r="H10" s="12">
        <v>0.98980000000000001</v>
      </c>
      <c r="I10" s="13">
        <v>1.0200000000000001E-2</v>
      </c>
      <c r="J10" s="14">
        <v>2.5</v>
      </c>
      <c r="K10" s="21">
        <v>58.7</v>
      </c>
      <c r="L10" s="13">
        <f t="shared" si="8"/>
        <v>0.9913827397640208</v>
      </c>
      <c r="M10" s="16">
        <f t="shared" si="0"/>
        <v>8.6172602359791961E-3</v>
      </c>
      <c r="N10" s="17">
        <f t="shared" si="7"/>
        <v>97127.322888659328</v>
      </c>
      <c r="O10" s="18">
        <f t="shared" si="1"/>
        <v>836.97141735555601</v>
      </c>
      <c r="P10" s="13">
        <f t="shared" si="9"/>
        <v>2.5383546811506785</v>
      </c>
      <c r="Q10" s="17">
        <f t="shared" si="2"/>
        <v>483576.28767175268</v>
      </c>
      <c r="R10" s="17">
        <f t="shared" si="3"/>
        <v>5746432.5937935142</v>
      </c>
      <c r="S10" s="10">
        <f t="shared" si="4"/>
        <v>59.163914158128954</v>
      </c>
      <c r="T10" s="20">
        <f t="shared" si="5"/>
        <v>0.46391415812895076</v>
      </c>
    </row>
    <row r="11" spans="2:20">
      <c r="B11" s="7">
        <v>30</v>
      </c>
      <c r="C11" s="8">
        <v>5</v>
      </c>
      <c r="D11" s="9">
        <v>74</v>
      </c>
      <c r="E11" s="9">
        <v>6</v>
      </c>
      <c r="F11" s="10">
        <f t="shared" si="6"/>
        <v>0.91891891891891897</v>
      </c>
      <c r="G11" s="11">
        <v>7477</v>
      </c>
      <c r="H11" s="12">
        <v>0.99009999999999998</v>
      </c>
      <c r="I11" s="13">
        <v>9.9000000000000008E-3</v>
      </c>
      <c r="J11" s="14">
        <v>2.5</v>
      </c>
      <c r="K11" s="21">
        <v>54.23</v>
      </c>
      <c r="L11" s="13">
        <f t="shared" si="8"/>
        <v>0.99089903839668669</v>
      </c>
      <c r="M11" s="16">
        <f t="shared" si="0"/>
        <v>9.1009616033133067E-3</v>
      </c>
      <c r="N11" s="17">
        <f t="shared" si="7"/>
        <v>96290.351471303773</v>
      </c>
      <c r="O11" s="18">
        <f t="shared" si="1"/>
        <v>876.33479150987864</v>
      </c>
      <c r="P11" s="13">
        <f t="shared" si="9"/>
        <v>2.5670613481756619</v>
      </c>
      <c r="Q11" s="17">
        <f t="shared" si="2"/>
        <v>479319.68857031601</v>
      </c>
      <c r="R11" s="17">
        <f t="shared" si="3"/>
        <v>5262856.3061217619</v>
      </c>
      <c r="S11" s="10">
        <f t="shared" si="4"/>
        <v>54.656112743447473</v>
      </c>
      <c r="T11" s="20">
        <f t="shared" si="5"/>
        <v>0.42611274344747585</v>
      </c>
    </row>
    <row r="12" spans="2:20">
      <c r="B12" s="7">
        <v>35</v>
      </c>
      <c r="C12" s="8">
        <v>5</v>
      </c>
      <c r="D12" s="9">
        <v>95</v>
      </c>
      <c r="E12" s="9">
        <v>8</v>
      </c>
      <c r="F12" s="10">
        <f t="shared" si="6"/>
        <v>0.91578947368421049</v>
      </c>
      <c r="G12" s="11">
        <v>7403</v>
      </c>
      <c r="H12" s="12">
        <v>0.98719999999999997</v>
      </c>
      <c r="I12" s="13">
        <v>1.2800000000000001E-2</v>
      </c>
      <c r="J12" s="14">
        <v>2.5</v>
      </c>
      <c r="K12" s="21">
        <v>49.7</v>
      </c>
      <c r="L12" s="13">
        <f t="shared" si="8"/>
        <v>0.98827154771760473</v>
      </c>
      <c r="M12" s="16">
        <f t="shared" si="0"/>
        <v>1.1728452282395274E-2</v>
      </c>
      <c r="N12" s="17">
        <f t="shared" si="7"/>
        <v>95414.016679793887</v>
      </c>
      <c r="O12" s="18">
        <f t="shared" si="1"/>
        <v>1119.0587417006293</v>
      </c>
      <c r="P12" s="13">
        <f t="shared" si="9"/>
        <v>2.5892442541143312</v>
      </c>
      <c r="Q12" s="17">
        <f t="shared" si="2"/>
        <v>474372.30610743101</v>
      </c>
      <c r="R12" s="17">
        <f t="shared" si="3"/>
        <v>4783536.617551446</v>
      </c>
      <c r="S12" s="10">
        <f t="shared" si="4"/>
        <v>50.134527232040007</v>
      </c>
      <c r="T12" s="20">
        <f t="shared" si="5"/>
        <v>0.43452723204000421</v>
      </c>
    </row>
    <row r="13" spans="2:20">
      <c r="B13" s="7">
        <v>40</v>
      </c>
      <c r="C13" s="8">
        <v>5</v>
      </c>
      <c r="D13" s="9">
        <v>114</v>
      </c>
      <c r="E13" s="9">
        <v>9</v>
      </c>
      <c r="F13" s="10">
        <f t="shared" si="6"/>
        <v>0.92105263157894735</v>
      </c>
      <c r="G13" s="11">
        <v>7308</v>
      </c>
      <c r="H13" s="12">
        <v>0.98440000000000005</v>
      </c>
      <c r="I13" s="13">
        <v>1.5599999999999999E-2</v>
      </c>
      <c r="J13" s="14">
        <v>2.5</v>
      </c>
      <c r="K13" s="21">
        <v>45.24</v>
      </c>
      <c r="L13" s="13">
        <f t="shared" si="8"/>
        <v>0.98562268097703309</v>
      </c>
      <c r="M13" s="16">
        <f t="shared" si="0"/>
        <v>1.4377319022966906E-2</v>
      </c>
      <c r="N13" s="17">
        <f t="shared" si="7"/>
        <v>94294.957938093256</v>
      </c>
      <c r="O13" s="18">
        <f t="shared" si="1"/>
        <v>1355.7086925332123</v>
      </c>
      <c r="P13" s="13">
        <f t="shared" si="9"/>
        <v>2.5609593104520432</v>
      </c>
      <c r="Q13" s="17">
        <f t="shared" si="2"/>
        <v>468168.16102620389</v>
      </c>
      <c r="R13" s="17">
        <f t="shared" si="3"/>
        <v>4309164.3114440152</v>
      </c>
      <c r="S13" s="10">
        <f t="shared" si="4"/>
        <v>45.698777598194354</v>
      </c>
      <c r="T13" s="20">
        <f t="shared" si="5"/>
        <v>0.45877759819435227</v>
      </c>
    </row>
    <row r="14" spans="2:20">
      <c r="B14" s="7">
        <v>45</v>
      </c>
      <c r="C14" s="8">
        <v>5</v>
      </c>
      <c r="D14" s="9">
        <v>122</v>
      </c>
      <c r="E14" s="9">
        <v>5</v>
      </c>
      <c r="F14" s="10">
        <f t="shared" si="6"/>
        <v>0.95901639344262291</v>
      </c>
      <c r="G14" s="11">
        <v>7194</v>
      </c>
      <c r="H14" s="12">
        <v>0.98299999999999998</v>
      </c>
      <c r="I14" s="13">
        <v>1.7000000000000001E-2</v>
      </c>
      <c r="J14" s="14">
        <v>2.5</v>
      </c>
      <c r="K14" s="21">
        <v>40.840000000000003</v>
      </c>
      <c r="L14" s="13">
        <f t="shared" si="8"/>
        <v>0.98369100809459964</v>
      </c>
      <c r="M14" s="16">
        <f t="shared" si="0"/>
        <v>1.6308991905400361E-2</v>
      </c>
      <c r="N14" s="17">
        <f t="shared" si="7"/>
        <v>92939.249245560044</v>
      </c>
      <c r="O14" s="18">
        <f t="shared" si="1"/>
        <v>1515.7454636398254</v>
      </c>
      <c r="P14" s="13">
        <f t="shared" si="9"/>
        <v>2.5981605036310946</v>
      </c>
      <c r="Q14" s="17">
        <f t="shared" si="2"/>
        <v>461055.66890678805</v>
      </c>
      <c r="R14" s="17">
        <f t="shared" si="3"/>
        <v>3840996.1504178117</v>
      </c>
      <c r="S14" s="10">
        <f t="shared" si="4"/>
        <v>41.328030746937699</v>
      </c>
      <c r="T14" s="20">
        <f t="shared" si="5"/>
        <v>0.48803074693769588</v>
      </c>
    </row>
    <row r="15" spans="2:20">
      <c r="B15" s="7">
        <v>50</v>
      </c>
      <c r="C15" s="8">
        <v>5</v>
      </c>
      <c r="D15" s="9">
        <v>164</v>
      </c>
      <c r="E15" s="9">
        <v>4</v>
      </c>
      <c r="F15" s="10">
        <f t="shared" si="6"/>
        <v>0.97560975609756095</v>
      </c>
      <c r="G15" s="11">
        <v>7072</v>
      </c>
      <c r="H15" s="12">
        <v>0.9768</v>
      </c>
      <c r="I15" s="13">
        <v>2.3199999999999998E-2</v>
      </c>
      <c r="J15" s="14">
        <v>2.5</v>
      </c>
      <c r="K15" s="21">
        <v>36.42</v>
      </c>
      <c r="L15" s="13">
        <f t="shared" si="8"/>
        <v>0.97735939851648712</v>
      </c>
      <c r="M15" s="16">
        <f t="shared" si="0"/>
        <v>2.2640601483512879E-2</v>
      </c>
      <c r="N15" s="17">
        <f t="shared" si="7"/>
        <v>91423.503781920212</v>
      </c>
      <c r="O15" s="18">
        <f t="shared" si="1"/>
        <v>2069.8831153528881</v>
      </c>
      <c r="P15" s="13">
        <f t="shared" si="9"/>
        <v>2.623560922940217</v>
      </c>
      <c r="Q15" s="17">
        <f t="shared" si="2"/>
        <v>452198.56778933026</v>
      </c>
      <c r="R15" s="17">
        <f t="shared" si="3"/>
        <v>3379940.4815110238</v>
      </c>
      <c r="S15" s="10">
        <f t="shared" si="4"/>
        <v>36.97014817517239</v>
      </c>
      <c r="T15" s="20">
        <f t="shared" si="5"/>
        <v>0.55014817517238868</v>
      </c>
    </row>
    <row r="16" spans="2:20">
      <c r="B16" s="7">
        <v>55</v>
      </c>
      <c r="C16" s="8">
        <v>5</v>
      </c>
      <c r="D16" s="9">
        <v>219</v>
      </c>
      <c r="E16" s="9">
        <v>7</v>
      </c>
      <c r="F16" s="10">
        <f t="shared" si="6"/>
        <v>0.96803652968036524</v>
      </c>
      <c r="G16" s="11">
        <v>6908</v>
      </c>
      <c r="H16" s="12">
        <v>0.96830000000000005</v>
      </c>
      <c r="I16" s="13">
        <v>3.1699999999999999E-2</v>
      </c>
      <c r="J16" s="14">
        <v>2.5</v>
      </c>
      <c r="K16" s="21">
        <v>32.1</v>
      </c>
      <c r="L16" s="13">
        <f t="shared" si="8"/>
        <v>0.96929752314333595</v>
      </c>
      <c r="M16" s="16">
        <f t="shared" si="0"/>
        <v>3.0702476856664052E-2</v>
      </c>
      <c r="N16" s="17">
        <f t="shared" si="7"/>
        <v>89353.620666567323</v>
      </c>
      <c r="O16" s="18">
        <f t="shared" si="1"/>
        <v>2743.3774705744217</v>
      </c>
      <c r="P16" s="13">
        <f t="shared" si="9"/>
        <v>2.5631882026823138</v>
      </c>
      <c r="Q16" s="17">
        <f t="shared" si="2"/>
        <v>440083.00874804525</v>
      </c>
      <c r="R16" s="17">
        <f t="shared" si="3"/>
        <v>2927741.9137216937</v>
      </c>
      <c r="S16" s="10">
        <f t="shared" si="4"/>
        <v>32.765789364561719</v>
      </c>
      <c r="T16" s="20">
        <f t="shared" si="5"/>
        <v>0.66578936456171789</v>
      </c>
    </row>
    <row r="17" spans="2:25">
      <c r="B17" s="7">
        <v>60</v>
      </c>
      <c r="C17" s="8">
        <v>5</v>
      </c>
      <c r="D17" s="9">
        <v>226</v>
      </c>
      <c r="E17" s="9">
        <v>2</v>
      </c>
      <c r="F17" s="10">
        <f t="shared" si="6"/>
        <v>0.99115044247787609</v>
      </c>
      <c r="G17" s="11">
        <v>6689</v>
      </c>
      <c r="H17" s="12">
        <v>0.96619999999999995</v>
      </c>
      <c r="I17" s="13">
        <v>3.3799999999999997E-2</v>
      </c>
      <c r="J17" s="14">
        <v>2.5</v>
      </c>
      <c r="K17" s="21">
        <v>27.91</v>
      </c>
      <c r="L17" s="13">
        <f t="shared" si="8"/>
        <v>0.96649404679905171</v>
      </c>
      <c r="M17" s="16">
        <f t="shared" si="0"/>
        <v>3.3505953200948291E-2</v>
      </c>
      <c r="N17" s="17">
        <f t="shared" si="7"/>
        <v>86610.243195992894</v>
      </c>
      <c r="O17" s="18">
        <f t="shared" si="1"/>
        <v>2901.9587552476883</v>
      </c>
      <c r="P17" s="13">
        <f t="shared" si="9"/>
        <v>2.5395129462286938</v>
      </c>
      <c r="Q17" s="17">
        <f t="shared" si="2"/>
        <v>425910.98403209925</v>
      </c>
      <c r="R17" s="17">
        <f t="shared" si="3"/>
        <v>2487658.9049736485</v>
      </c>
      <c r="S17" s="10">
        <f t="shared" si="4"/>
        <v>28.722456064974338</v>
      </c>
      <c r="T17" s="20">
        <f t="shared" si="5"/>
        <v>0.81245606497433798</v>
      </c>
    </row>
    <row r="18" spans="2:25">
      <c r="B18" s="7">
        <v>65</v>
      </c>
      <c r="C18" s="8">
        <v>5</v>
      </c>
      <c r="D18" s="9">
        <v>255</v>
      </c>
      <c r="E18" s="9">
        <v>1</v>
      </c>
      <c r="F18" s="10">
        <f t="shared" si="6"/>
        <v>0.99607843137254903</v>
      </c>
      <c r="G18" s="11">
        <v>6463</v>
      </c>
      <c r="H18" s="12">
        <v>0.96050000000000002</v>
      </c>
      <c r="I18" s="13">
        <v>3.95E-2</v>
      </c>
      <c r="J18" s="14">
        <v>2.5</v>
      </c>
      <c r="K18" s="21">
        <v>23.62</v>
      </c>
      <c r="L18" s="13">
        <f t="shared" si="8"/>
        <v>0.96065181354749729</v>
      </c>
      <c r="M18" s="16">
        <f t="shared" si="0"/>
        <v>3.9348186452502709E-2</v>
      </c>
      <c r="N18" s="17">
        <f t="shared" si="7"/>
        <v>83708.284440745207</v>
      </c>
      <c r="O18" s="18">
        <f t="shared" si="1"/>
        <v>3293.769183793574</v>
      </c>
      <c r="P18" s="13">
        <f t="shared" si="9"/>
        <v>2.5254162964143418</v>
      </c>
      <c r="Q18" s="17">
        <f t="shared" si="2"/>
        <v>410390.71465813782</v>
      </c>
      <c r="R18" s="17">
        <f t="shared" si="3"/>
        <v>2061747.9209415494</v>
      </c>
      <c r="S18" s="10">
        <f t="shared" si="4"/>
        <v>24.630153809937461</v>
      </c>
      <c r="T18" s="20">
        <f t="shared" si="5"/>
        <v>1.0101538099374601</v>
      </c>
    </row>
    <row r="19" spans="2:25">
      <c r="B19" s="7">
        <v>70</v>
      </c>
      <c r="C19" s="8">
        <v>5</v>
      </c>
      <c r="D19" s="9">
        <v>257</v>
      </c>
      <c r="E19" s="9">
        <v>2</v>
      </c>
      <c r="F19" s="10">
        <f t="shared" si="6"/>
        <v>0.99221789883268485</v>
      </c>
      <c r="G19" s="11">
        <v>6208</v>
      </c>
      <c r="H19" s="12">
        <v>0.95860000000000001</v>
      </c>
      <c r="I19" s="13">
        <v>4.1399999999999999E-2</v>
      </c>
      <c r="J19" s="14">
        <v>2.5</v>
      </c>
      <c r="K19" s="21">
        <v>19.29</v>
      </c>
      <c r="L19" s="13">
        <f t="shared" si="8"/>
        <v>0.95891546779346459</v>
      </c>
      <c r="M19" s="16">
        <f t="shared" si="0"/>
        <v>4.1084532206535407E-2</v>
      </c>
      <c r="N19" s="17">
        <f t="shared" si="7"/>
        <v>80414.515256951636</v>
      </c>
      <c r="O19" s="18">
        <f t="shared" si="1"/>
        <v>3303.7927419471625</v>
      </c>
      <c r="P19" s="13">
        <f t="shared" si="9"/>
        <v>2.4767600200530526</v>
      </c>
      <c r="Q19" s="17">
        <f>(C19*N20)+(P19*O19)</f>
        <v>393736.31435281853</v>
      </c>
      <c r="R19" s="17">
        <f t="shared" si="3"/>
        <v>1651357.2062834115</v>
      </c>
      <c r="S19" s="10">
        <f t="shared" si="4"/>
        <v>20.535561285257586</v>
      </c>
      <c r="T19" s="20">
        <f t="shared" si="5"/>
        <v>1.2455612852575868</v>
      </c>
    </row>
    <row r="20" spans="2:25">
      <c r="B20" s="7">
        <v>75</v>
      </c>
      <c r="C20" s="8">
        <v>5</v>
      </c>
      <c r="D20" s="9">
        <v>227</v>
      </c>
      <c r="E20" s="9">
        <v>1</v>
      </c>
      <c r="F20" s="10">
        <f t="shared" si="6"/>
        <v>0.99559471365638763</v>
      </c>
      <c r="G20" s="11">
        <v>5951</v>
      </c>
      <c r="H20" s="12">
        <v>0.96189999999999998</v>
      </c>
      <c r="I20" s="13">
        <v>3.8100000000000002E-2</v>
      </c>
      <c r="J20" s="14">
        <v>2.5</v>
      </c>
      <c r="K20" s="21">
        <v>14.79</v>
      </c>
      <c r="L20" s="13">
        <f t="shared" si="8"/>
        <v>0.96206461671682419</v>
      </c>
      <c r="M20" s="16">
        <f t="shared" si="0"/>
        <v>3.7935383283175805E-2</v>
      </c>
      <c r="N20" s="17">
        <f t="shared" si="7"/>
        <v>77110.722515004469</v>
      </c>
      <c r="O20" s="18">
        <f t="shared" si="1"/>
        <v>2925.2248138493087</v>
      </c>
      <c r="P20" s="13">
        <f t="shared" si="9"/>
        <v>2.5183113524080705</v>
      </c>
      <c r="Q20" s="17">
        <f t="shared" si="2"/>
        <v>378294.11536283826</v>
      </c>
      <c r="R20" s="17">
        <f t="shared" si="3"/>
        <v>1257620.8919305929</v>
      </c>
      <c r="S20" s="10">
        <f t="shared" si="4"/>
        <v>16.309286839918805</v>
      </c>
      <c r="T20" s="20">
        <f t="shared" si="5"/>
        <v>1.5192868399188058</v>
      </c>
    </row>
    <row r="21" spans="2:25">
      <c r="B21" s="7">
        <v>80</v>
      </c>
      <c r="C21" s="8">
        <v>5</v>
      </c>
      <c r="D21" s="9">
        <v>275</v>
      </c>
      <c r="E21" s="9">
        <v>0</v>
      </c>
      <c r="F21" s="10">
        <f t="shared" si="6"/>
        <v>1</v>
      </c>
      <c r="G21" s="11">
        <v>5724</v>
      </c>
      <c r="H21" s="12">
        <v>0.95199999999999996</v>
      </c>
      <c r="I21" s="13">
        <v>4.8000000000000001E-2</v>
      </c>
      <c r="J21" s="14">
        <v>2.5</v>
      </c>
      <c r="K21" s="21">
        <v>10.08</v>
      </c>
      <c r="L21" s="13">
        <f t="shared" si="8"/>
        <v>0.95199999999999996</v>
      </c>
      <c r="M21" s="16">
        <f t="shared" si="0"/>
        <v>4.8000000000000043E-2</v>
      </c>
      <c r="N21" s="17">
        <f t="shared" si="7"/>
        <v>74185.497701155153</v>
      </c>
      <c r="O21" s="18">
        <f t="shared" si="1"/>
        <v>3560.9038896554507</v>
      </c>
      <c r="P21" s="18">
        <f>C21+(F21*(I21/M21)*(J21-C21))</f>
        <v>2.5000000000000022</v>
      </c>
      <c r="Q21" s="17">
        <f>(C21*N22)+(P21*O21)</f>
        <v>362025.22878163715</v>
      </c>
      <c r="R21" s="17">
        <f t="shared" si="3"/>
        <v>879326.77656775468</v>
      </c>
      <c r="S21" s="10">
        <f t="shared" si="4"/>
        <v>11.85308185314045</v>
      </c>
      <c r="T21" s="20">
        <f t="shared" si="5"/>
        <v>1.7730818531404502</v>
      </c>
    </row>
    <row r="22" spans="2:25">
      <c r="B22" s="22">
        <v>85</v>
      </c>
      <c r="C22" s="23">
        <v>5</v>
      </c>
      <c r="D22" s="24">
        <v>467</v>
      </c>
      <c r="E22" s="24">
        <v>0</v>
      </c>
      <c r="F22" s="25">
        <f t="shared" si="6"/>
        <v>1</v>
      </c>
      <c r="G22" s="26">
        <v>5449</v>
      </c>
      <c r="H22" s="27">
        <v>0.9143</v>
      </c>
      <c r="I22" s="28">
        <v>8.5699999999999998E-2</v>
      </c>
      <c r="J22" s="29">
        <v>2.5</v>
      </c>
      <c r="K22" s="30">
        <v>5.21</v>
      </c>
      <c r="L22" s="28">
        <f t="shared" si="8"/>
        <v>0.9143</v>
      </c>
      <c r="M22" s="31">
        <f t="shared" si="0"/>
        <v>8.5699999999999998E-2</v>
      </c>
      <c r="N22" s="32">
        <f t="shared" si="7"/>
        <v>70624.593811499697</v>
      </c>
      <c r="O22" s="33">
        <f t="shared" si="1"/>
        <v>6052.5276896455243</v>
      </c>
      <c r="P22" s="28">
        <f>K22/F22</f>
        <v>5.21</v>
      </c>
      <c r="Q22" s="46">
        <f>N22/[1]LT!E39</f>
        <v>517301.54778611753</v>
      </c>
      <c r="R22" s="32">
        <f>Q22</f>
        <v>517301.54778611753</v>
      </c>
      <c r="S22" s="25">
        <f t="shared" si="4"/>
        <v>7.3246658121223218</v>
      </c>
      <c r="T22" s="34">
        <f t="shared" si="5"/>
        <v>2.1146658121223219</v>
      </c>
    </row>
    <row r="24" spans="2:25">
      <c r="B24" s="55" t="s">
        <v>13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</row>
    <row r="25" spans="2:25">
      <c r="B25" s="53" t="s">
        <v>19</v>
      </c>
      <c r="C25" s="53"/>
      <c r="D25" s="53"/>
      <c r="E25" s="53"/>
      <c r="F25" s="53"/>
      <c r="G25" s="53"/>
      <c r="H25" s="53"/>
    </row>
    <row r="26" spans="2:25">
      <c r="B26" s="1" t="s">
        <v>1</v>
      </c>
      <c r="C26" s="2" t="s">
        <v>2</v>
      </c>
      <c r="D26" s="2" t="s">
        <v>3</v>
      </c>
      <c r="E26" s="2" t="s">
        <v>4</v>
      </c>
      <c r="F26" s="3"/>
      <c r="G26" s="4"/>
      <c r="H26" s="4"/>
      <c r="I26" s="4" t="s">
        <v>5</v>
      </c>
      <c r="J26" s="4"/>
      <c r="K26" s="5" t="s">
        <v>6</v>
      </c>
      <c r="L26" s="4"/>
      <c r="M26" s="4" t="s">
        <v>7</v>
      </c>
      <c r="N26" s="4"/>
      <c r="O26" s="4" t="s">
        <v>8</v>
      </c>
      <c r="P26" s="4"/>
      <c r="Q26" s="4" t="s">
        <v>9</v>
      </c>
      <c r="R26" s="4" t="s">
        <v>10</v>
      </c>
      <c r="S26" s="5" t="s">
        <v>11</v>
      </c>
      <c r="T26" s="6" t="s">
        <v>12</v>
      </c>
    </row>
    <row r="27" spans="2:25" ht="15" thickBot="1">
      <c r="B27" s="7">
        <v>0</v>
      </c>
      <c r="C27" s="8">
        <v>1</v>
      </c>
      <c r="D27" s="35">
        <v>87</v>
      </c>
      <c r="E27" s="35">
        <v>0</v>
      </c>
      <c r="F27" s="10">
        <f t="shared" ref="F27:F45" si="10">(D27-E27)/D27</f>
        <v>1</v>
      </c>
      <c r="G27" s="45">
        <v>7516.1719999999996</v>
      </c>
      <c r="H27" s="36">
        <v>0.98839999999999995</v>
      </c>
      <c r="I27" s="47">
        <v>1.1599999999999999E-2</v>
      </c>
      <c r="J27" s="37">
        <v>8.2400000000000001E-2</v>
      </c>
      <c r="K27" s="38">
        <v>84.67</v>
      </c>
      <c r="L27" s="13">
        <f t="shared" ref="L27:L45" si="11">H27^F27</f>
        <v>0.98839999999999995</v>
      </c>
      <c r="M27" s="16">
        <f t="shared" ref="M27:M45" si="12">1-L27</f>
        <v>1.1600000000000055E-2</v>
      </c>
      <c r="N27" s="17">
        <v>100000</v>
      </c>
      <c r="O27" s="18">
        <f>N27*M27</f>
        <v>1160.0000000000055</v>
      </c>
      <c r="P27" s="18">
        <f>C27+(F27*(I27/M27)*(J27-C27))</f>
        <v>8.2400000000004359E-2</v>
      </c>
      <c r="Q27" s="17">
        <f t="shared" ref="Q27:Q44" si="13">(C27*N28)+(P27*O27)</f>
        <v>98935.584000000003</v>
      </c>
      <c r="R27" s="17">
        <f t="shared" ref="R27:R44" si="14">R28+Q27</f>
        <v>8576448.7552356254</v>
      </c>
      <c r="S27" s="39">
        <f t="shared" ref="S27:S45" si="15">R27/N27</f>
        <v>85.764487552356258</v>
      </c>
      <c r="T27" s="20">
        <f t="shared" ref="T27:T45" si="16">S27-K27</f>
        <v>1.0944875523562558</v>
      </c>
    </row>
    <row r="28" spans="2:25" ht="15" thickBot="1">
      <c r="B28" s="7">
        <v>1</v>
      </c>
      <c r="C28" s="8">
        <v>4</v>
      </c>
      <c r="D28" s="35">
        <v>16</v>
      </c>
      <c r="E28" s="35">
        <v>0</v>
      </c>
      <c r="F28" s="10">
        <f t="shared" si="10"/>
        <v>1</v>
      </c>
      <c r="G28" s="45">
        <v>29712.082999999999</v>
      </c>
      <c r="H28" s="36">
        <v>0.99780000000000002</v>
      </c>
      <c r="I28" s="47">
        <v>2.2000000000000001E-3</v>
      </c>
      <c r="J28" s="37">
        <v>1.5052000000000001</v>
      </c>
      <c r="K28" s="40">
        <v>84.65</v>
      </c>
      <c r="L28" s="13">
        <f t="shared" si="11"/>
        <v>0.99780000000000002</v>
      </c>
      <c r="M28" s="16">
        <f t="shared" si="12"/>
        <v>2.1999999999999797E-3</v>
      </c>
      <c r="N28" s="17">
        <f t="shared" ref="N28:N45" si="17">N27*L27</f>
        <v>98840</v>
      </c>
      <c r="O28" s="18">
        <f t="shared" ref="O28:O45" si="18">N28*M28</f>
        <v>217.44799999999799</v>
      </c>
      <c r="P28" s="18">
        <f>C28+(F28*(I28/M28)*(J28-C28))</f>
        <v>1.5051999999999772</v>
      </c>
      <c r="Q28" s="17">
        <f t="shared" si="13"/>
        <v>394817.51072959998</v>
      </c>
      <c r="R28" s="17">
        <f t="shared" si="14"/>
        <v>8477513.1712356247</v>
      </c>
      <c r="S28" s="10">
        <f t="shared" si="15"/>
        <v>85.770064460093323</v>
      </c>
      <c r="T28" s="20">
        <f t="shared" si="16"/>
        <v>1.1200644600933174</v>
      </c>
    </row>
    <row r="29" spans="2:25" ht="15" thickBot="1">
      <c r="B29" s="7">
        <v>5</v>
      </c>
      <c r="C29" s="8">
        <v>5</v>
      </c>
      <c r="D29" s="35">
        <v>9</v>
      </c>
      <c r="E29" s="35">
        <v>0</v>
      </c>
      <c r="F29" s="10">
        <f t="shared" si="10"/>
        <v>1</v>
      </c>
      <c r="G29" s="45">
        <v>37052.5</v>
      </c>
      <c r="H29" s="36">
        <v>0.99880000000000002</v>
      </c>
      <c r="I29" s="47">
        <v>1.1999999999999999E-3</v>
      </c>
      <c r="J29" s="37">
        <v>2.5</v>
      </c>
      <c r="K29" s="40">
        <v>80.819999999999993</v>
      </c>
      <c r="L29" s="13">
        <f t="shared" si="11"/>
        <v>0.99880000000000002</v>
      </c>
      <c r="M29" s="16">
        <f t="shared" si="12"/>
        <v>1.1999999999999789E-3</v>
      </c>
      <c r="N29" s="17">
        <f t="shared" si="17"/>
        <v>98622.551999999996</v>
      </c>
      <c r="O29" s="18">
        <f t="shared" si="18"/>
        <v>118.34706239999791</v>
      </c>
      <c r="P29" s="18">
        <f>C29+(F29*(I29/M29)*(J29-C29))</f>
        <v>2.499999999999956</v>
      </c>
      <c r="Q29" s="17">
        <f t="shared" si="13"/>
        <v>492816.89234399999</v>
      </c>
      <c r="R29" s="17">
        <f t="shared" si="14"/>
        <v>8082695.660506025</v>
      </c>
      <c r="S29" s="10">
        <f t="shared" si="15"/>
        <v>81.955855903080106</v>
      </c>
      <c r="T29" s="20">
        <f t="shared" si="16"/>
        <v>1.1358559030801132</v>
      </c>
      <c r="X29" s="49" t="s">
        <v>16</v>
      </c>
      <c r="Y29" s="49" t="s">
        <v>17</v>
      </c>
    </row>
    <row r="30" spans="2:25" ht="15" thickBot="1">
      <c r="B30" s="7">
        <v>10</v>
      </c>
      <c r="C30" s="8">
        <v>5</v>
      </c>
      <c r="D30" s="35">
        <v>10</v>
      </c>
      <c r="E30" s="35">
        <v>2</v>
      </c>
      <c r="F30" s="10">
        <f t="shared" si="10"/>
        <v>0.8</v>
      </c>
      <c r="G30" s="45">
        <v>37010</v>
      </c>
      <c r="H30" s="36">
        <v>0.99860000000000004</v>
      </c>
      <c r="I30" s="47">
        <v>1.4E-3</v>
      </c>
      <c r="J30" s="37">
        <v>2.5</v>
      </c>
      <c r="K30" s="40">
        <v>75.91</v>
      </c>
      <c r="L30" s="13">
        <f t="shared" si="11"/>
        <v>0.99887984311212441</v>
      </c>
      <c r="M30" s="16">
        <f t="shared" si="12"/>
        <v>1.1201568878755896E-3</v>
      </c>
      <c r="N30" s="17">
        <f t="shared" si="17"/>
        <v>98504.204937599992</v>
      </c>
      <c r="O30" s="18">
        <f t="shared" si="18"/>
        <v>110.3401636455613</v>
      </c>
      <c r="P30" s="13">
        <f>(((-5/24)*O29)+((2.5)*O30)+((5/24)*O31))/O30</f>
        <v>2.5986061696955747</v>
      </c>
      <c r="Q30" s="17">
        <f t="shared" si="13"/>
        <v>492256.0544997867</v>
      </c>
      <c r="R30" s="17">
        <f t="shared" si="14"/>
        <v>7589878.7681620251</v>
      </c>
      <c r="S30" s="10">
        <f t="shared" si="15"/>
        <v>77.051317484060988</v>
      </c>
      <c r="T30" s="20">
        <f t="shared" si="16"/>
        <v>1.1413174840609912</v>
      </c>
      <c r="V30" s="48" t="s">
        <v>14</v>
      </c>
      <c r="W30" s="48"/>
      <c r="X30" s="50">
        <f>K4</f>
        <v>81.58</v>
      </c>
      <c r="Y30" s="50">
        <f>K27</f>
        <v>84.67</v>
      </c>
    </row>
    <row r="31" spans="2:25" ht="15" thickBot="1">
      <c r="B31" s="7">
        <v>15</v>
      </c>
      <c r="C31" s="8">
        <v>5</v>
      </c>
      <c r="D31" s="35">
        <v>15</v>
      </c>
      <c r="E31" s="35">
        <v>2</v>
      </c>
      <c r="F31" s="10">
        <f t="shared" si="10"/>
        <v>0.8666666666666667</v>
      </c>
      <c r="G31" s="45">
        <v>36972.5</v>
      </c>
      <c r="H31" s="36">
        <v>0.998</v>
      </c>
      <c r="I31" s="47">
        <v>2E-3</v>
      </c>
      <c r="J31" s="37">
        <v>2.5</v>
      </c>
      <c r="K31" s="40">
        <v>71</v>
      </c>
      <c r="L31" s="13">
        <f t="shared" si="11"/>
        <v>0.99826643538075177</v>
      </c>
      <c r="M31" s="16">
        <f t="shared" si="12"/>
        <v>1.733564619248229E-3</v>
      </c>
      <c r="N31" s="17">
        <f t="shared" si="17"/>
        <v>98393.864773954425</v>
      </c>
      <c r="O31" s="18">
        <f t="shared" si="18"/>
        <v>170.57212272322204</v>
      </c>
      <c r="P31" s="13">
        <f>(((-5/24)*O30)+((2.5)*O31)+((5/24)*O32))/O31</f>
        <v>2.5479784769087401</v>
      </c>
      <c r="Q31" s="17">
        <f t="shared" si="13"/>
        <v>491551.07735361537</v>
      </c>
      <c r="R31" s="17">
        <f t="shared" si="14"/>
        <v>7097622.7136622388</v>
      </c>
      <c r="S31" s="10">
        <f t="shared" si="15"/>
        <v>72.134809725870539</v>
      </c>
      <c r="T31" s="20">
        <f t="shared" si="16"/>
        <v>1.1348097258705394</v>
      </c>
      <c r="V31" s="48" t="s">
        <v>15</v>
      </c>
      <c r="W31" s="48"/>
      <c r="X31" s="50">
        <f>S4</f>
        <v>82.009519399409186</v>
      </c>
      <c r="Y31" s="50">
        <f>S27</f>
        <v>85.764487552356258</v>
      </c>
    </row>
    <row r="32" spans="2:25" ht="15" thickBot="1">
      <c r="B32" s="7">
        <v>20</v>
      </c>
      <c r="C32" s="8">
        <v>5</v>
      </c>
      <c r="D32" s="35">
        <v>13</v>
      </c>
      <c r="E32" s="35">
        <v>2</v>
      </c>
      <c r="F32" s="10">
        <f t="shared" si="10"/>
        <v>0.84615384615384615</v>
      </c>
      <c r="G32" s="45">
        <v>36892.5</v>
      </c>
      <c r="H32" s="36">
        <v>0.99819999999999998</v>
      </c>
      <c r="I32" s="47">
        <v>1.8E-3</v>
      </c>
      <c r="J32" s="37">
        <v>2.5</v>
      </c>
      <c r="K32" s="40">
        <v>66.13</v>
      </c>
      <c r="L32" s="13">
        <f t="shared" si="11"/>
        <v>0.99847671204320831</v>
      </c>
      <c r="M32" s="16">
        <f t="shared" si="12"/>
        <v>1.5232879567916857E-3</v>
      </c>
      <c r="N32" s="17">
        <f t="shared" si="17"/>
        <v>98223.292651231197</v>
      </c>
      <c r="O32" s="18">
        <f t="shared" si="18"/>
        <v>149.62235877204577</v>
      </c>
      <c r="P32" s="13">
        <f>(((-5/24)*O31)+((2.5)*O32)+((5/24)*O33))/O32</f>
        <v>2.6858237413493868</v>
      </c>
      <c r="Q32" s="17">
        <f t="shared" si="13"/>
        <v>490770.2107457224</v>
      </c>
      <c r="R32" s="17">
        <f t="shared" si="14"/>
        <v>6606071.6363086235</v>
      </c>
      <c r="S32" s="10">
        <f t="shared" si="15"/>
        <v>67.255652483217972</v>
      </c>
      <c r="T32" s="20">
        <f t="shared" si="16"/>
        <v>1.1256524832179764</v>
      </c>
      <c r="X32" s="51"/>
      <c r="Y32" s="51"/>
    </row>
    <row r="33" spans="2:24" ht="15" thickBot="1">
      <c r="B33" s="7">
        <v>25</v>
      </c>
      <c r="C33" s="8">
        <v>5</v>
      </c>
      <c r="D33" s="35">
        <v>23</v>
      </c>
      <c r="E33" s="35">
        <v>0</v>
      </c>
      <c r="F33" s="10">
        <f t="shared" si="10"/>
        <v>1</v>
      </c>
      <c r="G33" s="45">
        <v>36852.5</v>
      </c>
      <c r="H33" s="36">
        <v>0.99690000000000001</v>
      </c>
      <c r="I33" s="47">
        <v>3.0999999999999999E-3</v>
      </c>
      <c r="J33" s="37">
        <v>2.5</v>
      </c>
      <c r="K33" s="40">
        <v>61.24</v>
      </c>
      <c r="L33" s="13">
        <f t="shared" si="11"/>
        <v>0.99690000000000001</v>
      </c>
      <c r="M33" s="16">
        <f t="shared" si="12"/>
        <v>3.0999999999999917E-3</v>
      </c>
      <c r="N33" s="17">
        <f t="shared" si="17"/>
        <v>98073.670292459152</v>
      </c>
      <c r="O33" s="18">
        <f t="shared" si="18"/>
        <v>304.02837790662255</v>
      </c>
      <c r="P33" s="13">
        <f>(((-5/24)*O32)+((2.5)*O33)+((5/24)*O34))/O33</f>
        <v>2.7234207077405941</v>
      </c>
      <c r="Q33" s="17">
        <f t="shared" si="13"/>
        <v>489676.20675289433</v>
      </c>
      <c r="R33" s="17">
        <f t="shared" si="14"/>
        <v>6115301.4255629014</v>
      </c>
      <c r="S33" s="10">
        <f t="shared" si="15"/>
        <v>62.354160982523204</v>
      </c>
      <c r="T33" s="20">
        <f t="shared" si="16"/>
        <v>1.1141609825232024</v>
      </c>
    </row>
    <row r="34" spans="2:24" ht="15" thickBot="1">
      <c r="B34" s="7">
        <v>30</v>
      </c>
      <c r="C34" s="8">
        <v>5</v>
      </c>
      <c r="D34" s="35">
        <v>37</v>
      </c>
      <c r="E34" s="35">
        <v>1</v>
      </c>
      <c r="F34" s="10">
        <f t="shared" si="10"/>
        <v>0.97297297297297303</v>
      </c>
      <c r="G34" s="45">
        <v>36772.5</v>
      </c>
      <c r="H34" s="36">
        <v>0.995</v>
      </c>
      <c r="I34" s="47">
        <v>5.0000000000000001E-3</v>
      </c>
      <c r="J34" s="37">
        <v>2.5</v>
      </c>
      <c r="K34" s="40">
        <v>56.4</v>
      </c>
      <c r="L34" s="13">
        <f t="shared" si="11"/>
        <v>0.99513480586396796</v>
      </c>
      <c r="M34" s="16">
        <f t="shared" si="12"/>
        <v>4.8651941360320361E-3</v>
      </c>
      <c r="N34" s="17">
        <f t="shared" si="17"/>
        <v>97769.641914552529</v>
      </c>
      <c r="O34" s="18">
        <f t="shared" si="18"/>
        <v>475.66828852463294</v>
      </c>
      <c r="P34" s="13">
        <f t="shared" ref="P34:P42" si="19">(((-5/24)*O33)+((2.5)*O34)+((5/24)*O35))/O34</f>
        <v>2.5202477967412582</v>
      </c>
      <c r="Q34" s="17">
        <f t="shared" si="13"/>
        <v>487668.67008627346</v>
      </c>
      <c r="R34" s="17">
        <f t="shared" si="14"/>
        <v>5625625.218810007</v>
      </c>
      <c r="S34" s="10">
        <f t="shared" si="15"/>
        <v>57.539591110772598</v>
      </c>
      <c r="T34" s="20">
        <f t="shared" si="16"/>
        <v>1.1395911107725993</v>
      </c>
    </row>
    <row r="35" spans="2:24" ht="15" thickBot="1">
      <c r="B35" s="7">
        <v>35</v>
      </c>
      <c r="C35" s="8">
        <v>5</v>
      </c>
      <c r="D35" s="35">
        <v>26</v>
      </c>
      <c r="E35" s="35">
        <v>0</v>
      </c>
      <c r="F35" s="10">
        <f t="shared" si="10"/>
        <v>1</v>
      </c>
      <c r="G35" s="45">
        <v>36560</v>
      </c>
      <c r="H35" s="36">
        <v>0.99639999999999995</v>
      </c>
      <c r="I35" s="47">
        <v>3.5999999999999999E-3</v>
      </c>
      <c r="J35" s="37">
        <v>2.5</v>
      </c>
      <c r="K35" s="40">
        <v>51.65</v>
      </c>
      <c r="L35" s="13">
        <f t="shared" si="11"/>
        <v>0.99639999999999995</v>
      </c>
      <c r="M35" s="16">
        <f t="shared" si="12"/>
        <v>3.6000000000000476E-3</v>
      </c>
      <c r="N35" s="17">
        <f t="shared" si="17"/>
        <v>97293.973626027902</v>
      </c>
      <c r="O35" s="18">
        <f t="shared" si="18"/>
        <v>350.2583050537051</v>
      </c>
      <c r="P35" s="13">
        <f t="shared" si="19"/>
        <v>2.6545998201882539</v>
      </c>
      <c r="Q35" s="17">
        <f t="shared" si="13"/>
        <v>485648.37223848596</v>
      </c>
      <c r="R35" s="17">
        <f t="shared" si="14"/>
        <v>5137956.548723734</v>
      </c>
      <c r="S35" s="10">
        <f t="shared" si="15"/>
        <v>52.808579578347462</v>
      </c>
      <c r="T35" s="20">
        <f t="shared" si="16"/>
        <v>1.1585795783474637</v>
      </c>
    </row>
    <row r="36" spans="2:24" ht="15" thickBot="1">
      <c r="B36" s="7">
        <v>40</v>
      </c>
      <c r="C36" s="8">
        <v>5</v>
      </c>
      <c r="D36" s="35">
        <v>58</v>
      </c>
      <c r="E36" s="35">
        <v>3</v>
      </c>
      <c r="F36" s="10">
        <f t="shared" si="10"/>
        <v>0.94827586206896552</v>
      </c>
      <c r="G36" s="45">
        <v>36510</v>
      </c>
      <c r="H36" s="36">
        <v>0.99199999999999999</v>
      </c>
      <c r="I36" s="47">
        <v>8.0000000000000002E-3</v>
      </c>
      <c r="J36" s="37">
        <v>2.5</v>
      </c>
      <c r="K36" s="40">
        <v>46.81</v>
      </c>
      <c r="L36" s="13">
        <f t="shared" si="11"/>
        <v>0.99241221912326416</v>
      </c>
      <c r="M36" s="16">
        <f t="shared" si="12"/>
        <v>7.587780876735839E-3</v>
      </c>
      <c r="N36" s="17">
        <f t="shared" si="17"/>
        <v>96943.715320974195</v>
      </c>
      <c r="O36" s="18">
        <f t="shared" si="18"/>
        <v>735.58766923221117</v>
      </c>
      <c r="P36" s="13">
        <f t="shared" si="19"/>
        <v>2.7676179920324837</v>
      </c>
      <c r="Q36" s="17">
        <f t="shared" si="13"/>
        <v>483076.46392679424</v>
      </c>
      <c r="R36" s="17">
        <f t="shared" si="14"/>
        <v>4652308.1764852479</v>
      </c>
      <c r="S36" s="10">
        <f t="shared" si="15"/>
        <v>47.989786249492965</v>
      </c>
      <c r="T36" s="20">
        <f t="shared" si="16"/>
        <v>1.1797862494929632</v>
      </c>
      <c r="X36" s="50"/>
    </row>
    <row r="37" spans="2:24" ht="15" thickBot="1">
      <c r="B37" s="7">
        <v>45</v>
      </c>
      <c r="C37" s="8">
        <v>5</v>
      </c>
      <c r="D37" s="35">
        <v>98</v>
      </c>
      <c r="E37" s="35">
        <v>1</v>
      </c>
      <c r="F37" s="10">
        <f t="shared" si="10"/>
        <v>0.98979591836734693</v>
      </c>
      <c r="G37" s="45">
        <v>36320</v>
      </c>
      <c r="H37" s="36">
        <v>0.98640000000000005</v>
      </c>
      <c r="I37" s="47">
        <v>1.3599999999999999E-2</v>
      </c>
      <c r="J37" s="37">
        <v>2.5</v>
      </c>
      <c r="K37" s="40">
        <v>42.13</v>
      </c>
      <c r="L37" s="13">
        <f t="shared" si="11"/>
        <v>0.98653783715903764</v>
      </c>
      <c r="M37" s="16">
        <f t="shared" si="12"/>
        <v>1.3462162840962355E-2</v>
      </c>
      <c r="N37" s="17">
        <f t="shared" si="17"/>
        <v>96208.12765174199</v>
      </c>
      <c r="O37" s="18">
        <f t="shared" si="18"/>
        <v>1295.1694810718438</v>
      </c>
      <c r="P37" s="13">
        <f t="shared" si="19"/>
        <v>2.589310795807557</v>
      </c>
      <c r="Q37" s="17">
        <f t="shared" si="13"/>
        <v>477918.38717309054</v>
      </c>
      <c r="R37" s="17">
        <f t="shared" si="14"/>
        <v>4169231.7125584539</v>
      </c>
      <c r="S37" s="10">
        <f t="shared" si="15"/>
        <v>43.335545699947566</v>
      </c>
      <c r="T37" s="20">
        <f t="shared" si="16"/>
        <v>1.2055456999475638</v>
      </c>
    </row>
    <row r="38" spans="2:24" ht="15" thickBot="1">
      <c r="B38" s="7">
        <v>50</v>
      </c>
      <c r="C38" s="8">
        <v>5</v>
      </c>
      <c r="D38" s="35">
        <v>97</v>
      </c>
      <c r="E38" s="35">
        <v>0</v>
      </c>
      <c r="F38" s="10">
        <f t="shared" si="10"/>
        <v>1</v>
      </c>
      <c r="G38" s="45">
        <v>35827.5</v>
      </c>
      <c r="H38" s="36">
        <v>0.98640000000000005</v>
      </c>
      <c r="I38" s="47">
        <v>1.3599999999999999E-2</v>
      </c>
      <c r="J38" s="37">
        <v>2.5</v>
      </c>
      <c r="K38" s="40">
        <v>37.6</v>
      </c>
      <c r="L38" s="13">
        <f t="shared" si="11"/>
        <v>0.98640000000000005</v>
      </c>
      <c r="M38" s="16">
        <f t="shared" si="12"/>
        <v>1.3599999999999945E-2</v>
      </c>
      <c r="N38" s="17">
        <f t="shared" si="17"/>
        <v>94912.958170670143</v>
      </c>
      <c r="O38" s="18">
        <f t="shared" si="18"/>
        <v>1290.8162311211088</v>
      </c>
      <c r="P38" s="13">
        <f t="shared" si="19"/>
        <v>2.5584162728673596</v>
      </c>
      <c r="Q38" s="17">
        <f t="shared" si="13"/>
        <v>471413.1549487267</v>
      </c>
      <c r="R38" s="17">
        <f t="shared" si="14"/>
        <v>3691313.3253853633</v>
      </c>
      <c r="S38" s="10">
        <f t="shared" si="15"/>
        <v>38.891563349524255</v>
      </c>
      <c r="T38" s="20">
        <f t="shared" si="16"/>
        <v>1.2915633495242531</v>
      </c>
    </row>
    <row r="39" spans="2:24" ht="15" thickBot="1">
      <c r="B39" s="7">
        <v>55</v>
      </c>
      <c r="C39" s="8">
        <v>5</v>
      </c>
      <c r="D39" s="35">
        <v>124</v>
      </c>
      <c r="E39" s="35">
        <v>0</v>
      </c>
      <c r="F39" s="10">
        <f t="shared" si="10"/>
        <v>1</v>
      </c>
      <c r="G39" s="45">
        <v>35410</v>
      </c>
      <c r="H39" s="36">
        <v>0.98229999999999995</v>
      </c>
      <c r="I39" s="47">
        <v>1.77E-2</v>
      </c>
      <c r="J39" s="37">
        <v>2.5</v>
      </c>
      <c r="K39" s="40">
        <v>33.020000000000003</v>
      </c>
      <c r="L39" s="13">
        <f t="shared" si="11"/>
        <v>0.98229999999999995</v>
      </c>
      <c r="M39" s="16">
        <f t="shared" si="12"/>
        <v>1.7700000000000049E-2</v>
      </c>
      <c r="N39" s="17">
        <f t="shared" si="17"/>
        <v>93622.141939549037</v>
      </c>
      <c r="O39" s="18">
        <f t="shared" si="18"/>
        <v>1657.1119123300225</v>
      </c>
      <c r="P39" s="13">
        <f t="shared" si="19"/>
        <v>2.6013292121248228</v>
      </c>
      <c r="Q39" s="17">
        <f t="shared" si="13"/>
        <v>464135.84376139921</v>
      </c>
      <c r="R39" s="17">
        <f t="shared" si="14"/>
        <v>3219900.1704366365</v>
      </c>
      <c r="S39" s="10">
        <f t="shared" si="15"/>
        <v>34.39250698318456</v>
      </c>
      <c r="T39" s="20">
        <f t="shared" si="16"/>
        <v>1.3725069831845573</v>
      </c>
    </row>
    <row r="40" spans="2:24" ht="15" thickBot="1">
      <c r="B40" s="7">
        <v>60</v>
      </c>
      <c r="C40" s="8">
        <v>5</v>
      </c>
      <c r="D40" s="35">
        <v>157</v>
      </c>
      <c r="E40" s="35">
        <v>0</v>
      </c>
      <c r="F40" s="10">
        <f t="shared" si="10"/>
        <v>1</v>
      </c>
      <c r="G40" s="45">
        <v>34872.5</v>
      </c>
      <c r="H40" s="36">
        <v>0.97719999999999996</v>
      </c>
      <c r="I40" s="47">
        <v>2.2800000000000001E-2</v>
      </c>
      <c r="J40" s="37">
        <v>2.5</v>
      </c>
      <c r="K40" s="40">
        <v>28.48</v>
      </c>
      <c r="L40" s="13">
        <f t="shared" si="11"/>
        <v>0.97719999999999996</v>
      </c>
      <c r="M40" s="16">
        <f t="shared" si="12"/>
        <v>2.2800000000000042E-2</v>
      </c>
      <c r="N40" s="17">
        <f t="shared" si="17"/>
        <v>91965.030027219022</v>
      </c>
      <c r="O40" s="18">
        <f t="shared" si="18"/>
        <v>2096.8026846205976</v>
      </c>
      <c r="P40" s="13">
        <f t="shared" si="19"/>
        <v>2.5728671861093386</v>
      </c>
      <c r="Q40" s="17">
        <f t="shared" si="13"/>
        <v>454735.93153599842</v>
      </c>
      <c r="R40" s="17">
        <f t="shared" si="14"/>
        <v>2755764.3266752372</v>
      </c>
      <c r="S40" s="10">
        <f t="shared" si="15"/>
        <v>29.965350153853151</v>
      </c>
      <c r="T40" s="20">
        <f t="shared" si="16"/>
        <v>1.4853501538531511</v>
      </c>
    </row>
    <row r="41" spans="2:24" ht="15" thickBot="1">
      <c r="B41" s="7">
        <v>65</v>
      </c>
      <c r="C41" s="8">
        <v>5</v>
      </c>
      <c r="D41" s="35">
        <v>179</v>
      </c>
      <c r="E41" s="35">
        <v>0</v>
      </c>
      <c r="F41" s="10">
        <f t="shared" si="10"/>
        <v>1</v>
      </c>
      <c r="G41" s="45">
        <v>34142.5</v>
      </c>
      <c r="H41" s="36">
        <v>0.97340000000000004</v>
      </c>
      <c r="I41" s="47">
        <v>2.6599999999999999E-2</v>
      </c>
      <c r="J41" s="37">
        <v>2.5</v>
      </c>
      <c r="K41" s="40">
        <v>23.97</v>
      </c>
      <c r="L41" s="13">
        <f t="shared" si="11"/>
        <v>0.97340000000000004</v>
      </c>
      <c r="M41" s="16">
        <f t="shared" si="12"/>
        <v>2.6599999999999957E-2</v>
      </c>
      <c r="N41" s="17">
        <f t="shared" si="17"/>
        <v>89868.227342598417</v>
      </c>
      <c r="O41" s="18">
        <f t="shared" si="18"/>
        <v>2390.494847313114</v>
      </c>
      <c r="P41" s="13">
        <f t="shared" si="19"/>
        <v>2.5749447925226496</v>
      </c>
      <c r="Q41" s="17">
        <f t="shared" si="13"/>
        <v>443544.05473506771</v>
      </c>
      <c r="R41" s="17">
        <f t="shared" si="14"/>
        <v>2301028.3951392388</v>
      </c>
      <c r="S41" s="10">
        <f t="shared" si="15"/>
        <v>25.604470714295807</v>
      </c>
      <c r="T41" s="20">
        <f t="shared" si="16"/>
        <v>1.6344707142958086</v>
      </c>
    </row>
    <row r="42" spans="2:24" ht="15" thickBot="1">
      <c r="B42" s="7">
        <v>70</v>
      </c>
      <c r="C42" s="8">
        <v>5</v>
      </c>
      <c r="D42" s="35">
        <v>222</v>
      </c>
      <c r="E42" s="35">
        <v>0</v>
      </c>
      <c r="F42" s="10">
        <f t="shared" si="10"/>
        <v>1</v>
      </c>
      <c r="G42" s="45">
        <v>33355</v>
      </c>
      <c r="H42" s="36">
        <v>0.96619999999999995</v>
      </c>
      <c r="I42" s="47">
        <v>3.3799999999999997E-2</v>
      </c>
      <c r="J42" s="37">
        <v>2.5</v>
      </c>
      <c r="K42" s="40">
        <v>19.420000000000002</v>
      </c>
      <c r="L42" s="13">
        <f t="shared" si="11"/>
        <v>0.96619999999999995</v>
      </c>
      <c r="M42" s="16">
        <f t="shared" si="12"/>
        <v>3.3800000000000052E-2</v>
      </c>
      <c r="N42" s="17">
        <f t="shared" si="17"/>
        <v>87477.732495285309</v>
      </c>
      <c r="O42" s="18">
        <f t="shared" si="18"/>
        <v>2956.7473583406481</v>
      </c>
      <c r="P42" s="13">
        <f t="shared" si="19"/>
        <v>2.5364298852433307</v>
      </c>
      <c r="Q42" s="17">
        <f t="shared" si="13"/>
        <v>430104.50804753281</v>
      </c>
      <c r="R42" s="17">
        <f t="shared" si="14"/>
        <v>1857484.3404041713</v>
      </c>
      <c r="S42" s="10">
        <f t="shared" si="15"/>
        <v>21.233796160689032</v>
      </c>
      <c r="T42" s="20">
        <f t="shared" si="16"/>
        <v>1.81379616068903</v>
      </c>
    </row>
    <row r="43" spans="2:24" ht="15" thickBot="1">
      <c r="B43" s="7">
        <v>75</v>
      </c>
      <c r="C43" s="8">
        <v>5</v>
      </c>
      <c r="D43" s="35">
        <v>218</v>
      </c>
      <c r="E43" s="35">
        <v>0</v>
      </c>
      <c r="F43" s="10">
        <f t="shared" si="10"/>
        <v>1</v>
      </c>
      <c r="G43" s="45">
        <v>32235</v>
      </c>
      <c r="H43" s="36">
        <v>0.96560000000000001</v>
      </c>
      <c r="I43" s="47">
        <v>3.44E-2</v>
      </c>
      <c r="J43" s="37">
        <v>2.5</v>
      </c>
      <c r="K43" s="40">
        <v>14.83</v>
      </c>
      <c r="L43" s="13">
        <f t="shared" si="11"/>
        <v>0.96560000000000001</v>
      </c>
      <c r="M43" s="16">
        <f t="shared" si="12"/>
        <v>3.4399999999999986E-2</v>
      </c>
      <c r="N43" s="17">
        <f t="shared" si="17"/>
        <v>84520.985136944655</v>
      </c>
      <c r="O43" s="18">
        <f t="shared" si="18"/>
        <v>2907.5218887108949</v>
      </c>
      <c r="P43" s="13">
        <f>(((-5/24)*O42)+((2.5)*O43)+((5/24)*O44))/O43</f>
        <v>2.5144520027912427</v>
      </c>
      <c r="Q43" s="17">
        <f t="shared" si="13"/>
        <v>415378.1404773973</v>
      </c>
      <c r="R43" s="17">
        <f t="shared" si="14"/>
        <v>1427379.8323566385</v>
      </c>
      <c r="S43" s="10">
        <f t="shared" si="15"/>
        <v>16.887875005762584</v>
      </c>
      <c r="T43" s="20">
        <f t="shared" si="16"/>
        <v>2.0578750057625843</v>
      </c>
    </row>
    <row r="44" spans="2:24" ht="15" thickBot="1">
      <c r="B44" s="7">
        <v>80</v>
      </c>
      <c r="C44" s="8">
        <v>5</v>
      </c>
      <c r="D44" s="35">
        <v>237</v>
      </c>
      <c r="E44" s="35">
        <v>0</v>
      </c>
      <c r="F44" s="10">
        <f t="shared" si="10"/>
        <v>1</v>
      </c>
      <c r="G44" s="45">
        <v>31192.5</v>
      </c>
      <c r="H44" s="36">
        <v>0.96130000000000004</v>
      </c>
      <c r="I44" s="47">
        <v>3.8699999999999998E-2</v>
      </c>
      <c r="J44" s="37">
        <v>2.5</v>
      </c>
      <c r="K44" s="40">
        <v>10.09</v>
      </c>
      <c r="L44" s="13">
        <f t="shared" si="11"/>
        <v>0.96130000000000004</v>
      </c>
      <c r="M44" s="16">
        <f t="shared" si="12"/>
        <v>3.8699999999999957E-2</v>
      </c>
      <c r="N44" s="17">
        <f t="shared" si="17"/>
        <v>81613.463248233762</v>
      </c>
      <c r="O44" s="18">
        <f t="shared" si="18"/>
        <v>3158.4410277066431</v>
      </c>
      <c r="P44" s="18">
        <f>C44+(F44*(I44/M44)*(J44-C44))</f>
        <v>2.4999999999999973</v>
      </c>
      <c r="Q44" s="17">
        <f t="shared" si="13"/>
        <v>400171.21367190214</v>
      </c>
      <c r="R44" s="17">
        <f t="shared" si="14"/>
        <v>1012001.6918792413</v>
      </c>
      <c r="S44" s="10">
        <f t="shared" si="15"/>
        <v>12.399935642985259</v>
      </c>
      <c r="T44" s="20">
        <f t="shared" si="16"/>
        <v>2.3099356429852591</v>
      </c>
    </row>
    <row r="45" spans="2:24" ht="15" thickBot="1">
      <c r="B45" s="22">
        <v>85</v>
      </c>
      <c r="C45" s="23">
        <v>5</v>
      </c>
      <c r="D45" s="41">
        <v>466</v>
      </c>
      <c r="E45" s="41">
        <v>0</v>
      </c>
      <c r="F45" s="25">
        <f t="shared" si="10"/>
        <v>1</v>
      </c>
      <c r="G45" s="45">
        <v>30580</v>
      </c>
      <c r="H45" s="42">
        <v>0.92079999999999995</v>
      </c>
      <c r="I45" s="47">
        <v>7.9200000000000007E-2</v>
      </c>
      <c r="J45" s="43">
        <v>2.5</v>
      </c>
      <c r="K45" s="44">
        <v>5.2</v>
      </c>
      <c r="L45" s="28">
        <f t="shared" si="11"/>
        <v>0.92079999999999995</v>
      </c>
      <c r="M45" s="31">
        <f t="shared" si="12"/>
        <v>7.9200000000000048E-2</v>
      </c>
      <c r="N45" s="32">
        <f t="shared" si="17"/>
        <v>78455.022220527113</v>
      </c>
      <c r="O45" s="33">
        <f t="shared" si="18"/>
        <v>6213.6377598657509</v>
      </c>
      <c r="P45" s="28">
        <f>K45/F45</f>
        <v>5.2</v>
      </c>
      <c r="Q45" s="44">
        <f>N45/[1]LT!E96</f>
        <v>611830.47820733918</v>
      </c>
      <c r="R45" s="32">
        <f>Q45</f>
        <v>611830.47820733918</v>
      </c>
      <c r="S45" s="25">
        <f t="shared" si="15"/>
        <v>7.7984870935038595</v>
      </c>
      <c r="T45" s="34">
        <f t="shared" si="16"/>
        <v>2.5984870935038593</v>
      </c>
    </row>
  </sheetData>
  <mergeCells count="2">
    <mergeCell ref="B2:T2"/>
    <mergeCell ref="B24:T24"/>
  </mergeCells>
  <phoneticPr fontId="9" type="noConversion"/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Decrementos múltiples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Solano Tavera</dc:creator>
  <cp:lastModifiedBy>Angel Romero Vazquez</cp:lastModifiedBy>
  <dcterms:created xsi:type="dcterms:W3CDTF">2026-06-04T23:17:09Z</dcterms:created>
  <dcterms:modified xsi:type="dcterms:W3CDTF">2026-06-05T05:11:44Z</dcterms:modified>
</cp:coreProperties>
</file>